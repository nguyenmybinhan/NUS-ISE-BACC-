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3" codeName="{6BE1CDB9-6C1C-A5B6-3FC1-E231EC3C600E}"/>
  <workbookPr codeName="ThisWorkbook" defaultThemeVersion="166925"/>
  <mc:AlternateContent xmlns:mc="http://schemas.openxmlformats.org/markup-compatibility/2006">
    <mc:Choice Requires="x15">
      <x15ac:absPath xmlns:x15ac="http://schemas.microsoft.com/office/spreadsheetml/2010/11/ac" url="/Users/Kasikrit/Downloads/BACC 2021 PreUniversity/final/"/>
    </mc:Choice>
  </mc:AlternateContent>
  <xr:revisionPtr revIDLastSave="0" documentId="13_ncr:1_{836CE825-2543-5249-A563-5F36CA468DA4}" xr6:coauthVersionLast="47" xr6:coauthVersionMax="47" xr10:uidLastSave="{00000000-0000-0000-0000-000000000000}"/>
  <workbookProtection lockStructure="1"/>
  <bookViews>
    <workbookView xWindow="0" yWindow="500" windowWidth="28800" windowHeight="17500" activeTab="1" xr2:uid="{2469B181-098A-40CB-AB66-D7437DBE0F58}"/>
  </bookViews>
  <sheets>
    <sheet name="Machine Detail" sheetId="10" r:id="rId1"/>
    <sheet name="WS Data" sheetId="2" r:id="rId2"/>
    <sheet name="Flow" sheetId="1" r:id="rId3"/>
    <sheet name="Fab Detail" sheetId="12" r:id="rId4"/>
  </sheets>
  <functionGroups builtInGroupCount="19"/>
  <definedNames>
    <definedName name="_xlnm._FilterDatabase" localSheetId="2" hidden="1">Flow!$A$1:$E$201</definedName>
    <definedName name="_xlnm._FilterDatabase" localSheetId="1" hidden="1">'WS Data'!$A$1:$G$54</definedName>
  </definedNames>
  <calcPr calcId="191028"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2" i="1" l="1"/>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F3" i="1"/>
  <c r="F2" i="1"/>
</calcChain>
</file>

<file path=xl/sharedStrings.xml><?xml version="1.0" encoding="utf-8"?>
<sst xmlns="http://schemas.openxmlformats.org/spreadsheetml/2006/main" count="512" uniqueCount="311">
  <si>
    <t>Schematic Design</t>
  </si>
  <si>
    <t>Attribute</t>
  </si>
  <si>
    <t>Definition</t>
  </si>
  <si>
    <t>Utilization</t>
  </si>
  <si>
    <t>Proportion of time which the machine is available to carry out manufacturing processes</t>
  </si>
  <si>
    <t>Load size</t>
  </si>
  <si>
    <t>The number of wafers per chamber that can be loaded into a tool for the manufacturing step defined</t>
  </si>
  <si>
    <t>Raw Processing Time</t>
  </si>
  <si>
    <t>The time taken for a tool to complete the defined manufacturing step</t>
  </si>
  <si>
    <t>(RPT)</t>
  </si>
  <si>
    <t>RPT basis</t>
  </si>
  <si>
    <t>The number of batches a machine can process at any point of time which is determined by the number of chambers a machine has</t>
  </si>
  <si>
    <t xml:space="preserve">Chamber count </t>
  </si>
  <si>
    <t>Number of chambers in a machine</t>
  </si>
  <si>
    <t>Machine availability</t>
  </si>
  <si>
    <t>The proportion of time available for the machine to carry out manufacturing activities/processes</t>
  </si>
  <si>
    <t>Footprint</t>
  </si>
  <si>
    <t>The physical size of the machine measured in terms of square feet</t>
  </si>
  <si>
    <t>Capacity</t>
  </si>
  <si>
    <t xml:space="preserve">The capability of a machine to produce an output for a specific time. It is often expressed as a function of utilization, raw processing time and load size. </t>
  </si>
  <si>
    <t>Availability%</t>
  </si>
  <si>
    <t>Utilization%</t>
  </si>
  <si>
    <t>Quail</t>
  </si>
  <si>
    <t>Plovers</t>
  </si>
  <si>
    <t>Flamingos</t>
  </si>
  <si>
    <t>Peacocks</t>
  </si>
  <si>
    <t>Herring</t>
  </si>
  <si>
    <t>Locusts</t>
  </si>
  <si>
    <t>Lemurs</t>
  </si>
  <si>
    <t>Goats</t>
  </si>
  <si>
    <t>Turkeys</t>
  </si>
  <si>
    <t>Dragons</t>
  </si>
  <si>
    <t>Cattle</t>
  </si>
  <si>
    <t>Grouse</t>
  </si>
  <si>
    <t>Pigs</t>
  </si>
  <si>
    <t>Martens</t>
  </si>
  <si>
    <t>Moles</t>
  </si>
  <si>
    <t>Woodcocks</t>
  </si>
  <si>
    <t>Otters</t>
  </si>
  <si>
    <t>Deer</t>
  </si>
  <si>
    <t>Cheetas</t>
  </si>
  <si>
    <t>Partridge</t>
  </si>
  <si>
    <t>Baboons</t>
  </si>
  <si>
    <t>Crabs</t>
  </si>
  <si>
    <t>Cobras</t>
  </si>
  <si>
    <t>Chickens</t>
  </si>
  <si>
    <t>Jellyfish</t>
  </si>
  <si>
    <t>Bats</t>
  </si>
  <si>
    <t>Giraffes</t>
  </si>
  <si>
    <t>Geese</t>
  </si>
  <si>
    <t>Rattlesnakes</t>
  </si>
  <si>
    <t>Bobolinks</t>
  </si>
  <si>
    <t>Hawks</t>
  </si>
  <si>
    <t>Finches</t>
  </si>
  <si>
    <t>Jays</t>
  </si>
  <si>
    <t>Crocodiles</t>
  </si>
  <si>
    <t>Buffalo</t>
  </si>
  <si>
    <t>Falcons</t>
  </si>
  <si>
    <t>Apes</t>
  </si>
  <si>
    <t>Dolphins</t>
  </si>
  <si>
    <t>Sloths</t>
  </si>
  <si>
    <t>Dotterels</t>
  </si>
  <si>
    <t>Parrots</t>
  </si>
  <si>
    <t>Buzzards</t>
  </si>
  <si>
    <t>Barracudas</t>
  </si>
  <si>
    <t>Mosquitoes</t>
  </si>
  <si>
    <t>Fish</t>
  </si>
  <si>
    <t>Larks</t>
  </si>
  <si>
    <t>Cats</t>
  </si>
  <si>
    <t>Spiders</t>
  </si>
  <si>
    <t>Bears</t>
  </si>
  <si>
    <t>Ducks</t>
  </si>
  <si>
    <t>Kittens</t>
  </si>
  <si>
    <t>Ravens</t>
  </si>
  <si>
    <t>Oxen</t>
  </si>
  <si>
    <t>Step_001</t>
  </si>
  <si>
    <t>Step_002</t>
  </si>
  <si>
    <t>Step_003</t>
  </si>
  <si>
    <t>Step_004</t>
  </si>
  <si>
    <t>Step_005</t>
  </si>
  <si>
    <t>Step_006</t>
  </si>
  <si>
    <t>Step_007</t>
  </si>
  <si>
    <t>Step_008</t>
  </si>
  <si>
    <t>Step_009</t>
  </si>
  <si>
    <t>Step_010</t>
  </si>
  <si>
    <t>Step_011</t>
  </si>
  <si>
    <t>Step_012</t>
  </si>
  <si>
    <t>Step_013</t>
  </si>
  <si>
    <t>Step_014</t>
  </si>
  <si>
    <t>Step_015</t>
  </si>
  <si>
    <t>Step_016</t>
  </si>
  <si>
    <t>Step_017</t>
  </si>
  <si>
    <t>Step_018</t>
  </si>
  <si>
    <t>Step_019</t>
  </si>
  <si>
    <t>Step_020</t>
  </si>
  <si>
    <t>Step_021</t>
  </si>
  <si>
    <t>Step_022</t>
  </si>
  <si>
    <t>Step_023</t>
  </si>
  <si>
    <t>Step_024</t>
  </si>
  <si>
    <t>Step_025</t>
  </si>
  <si>
    <t>Step_026</t>
  </si>
  <si>
    <t>Step_027</t>
  </si>
  <si>
    <t>Step_028</t>
  </si>
  <si>
    <t>Step_029</t>
  </si>
  <si>
    <t>Step_030</t>
  </si>
  <si>
    <t>Step_031</t>
  </si>
  <si>
    <t>Step_032</t>
  </si>
  <si>
    <t>Step_033</t>
  </si>
  <si>
    <t>Step_034</t>
  </si>
  <si>
    <t>Step_035</t>
  </si>
  <si>
    <t>Step_036</t>
  </si>
  <si>
    <t>Step_037</t>
  </si>
  <si>
    <t>Step_038</t>
  </si>
  <si>
    <t>Step_039</t>
  </si>
  <si>
    <t>Step_040</t>
  </si>
  <si>
    <t>Step_041</t>
  </si>
  <si>
    <t>Step_042</t>
  </si>
  <si>
    <t>Step_043</t>
  </si>
  <si>
    <t>Step_044</t>
  </si>
  <si>
    <t>Step_045</t>
  </si>
  <si>
    <t>Step_046</t>
  </si>
  <si>
    <t>Step_047</t>
  </si>
  <si>
    <t>Step_048</t>
  </si>
  <si>
    <t>Step_049</t>
  </si>
  <si>
    <t>Step_050</t>
  </si>
  <si>
    <t>Step_051</t>
  </si>
  <si>
    <t>Step_052</t>
  </si>
  <si>
    <t>Step_053</t>
  </si>
  <si>
    <t>Step_054</t>
  </si>
  <si>
    <t>Step_055</t>
  </si>
  <si>
    <t>Step_056</t>
  </si>
  <si>
    <t>Step_057</t>
  </si>
  <si>
    <t>Step_058</t>
  </si>
  <si>
    <t>Step_059</t>
  </si>
  <si>
    <t>Step_060</t>
  </si>
  <si>
    <t>Step_061</t>
  </si>
  <si>
    <t>Step_062</t>
  </si>
  <si>
    <t>Step_063</t>
  </si>
  <si>
    <t>Step_064</t>
  </si>
  <si>
    <t>Step_065</t>
  </si>
  <si>
    <t>Step_066</t>
  </si>
  <si>
    <t>Step_067</t>
  </si>
  <si>
    <t>Step_068</t>
  </si>
  <si>
    <t>Step_069</t>
  </si>
  <si>
    <t>Step_070</t>
  </si>
  <si>
    <t>Step_071</t>
  </si>
  <si>
    <t>Step_072</t>
  </si>
  <si>
    <t>Step_073</t>
  </si>
  <si>
    <t>Step_074</t>
  </si>
  <si>
    <t>Step_075</t>
  </si>
  <si>
    <t>Step_076</t>
  </si>
  <si>
    <t>Step_077</t>
  </si>
  <si>
    <t>Step_078</t>
  </si>
  <si>
    <t>Step_079</t>
  </si>
  <si>
    <t>Step_080</t>
  </si>
  <si>
    <t>Step_081</t>
  </si>
  <si>
    <t>Step_082</t>
  </si>
  <si>
    <t>Step_083</t>
  </si>
  <si>
    <t>Step_084</t>
  </si>
  <si>
    <t>Step_085</t>
  </si>
  <si>
    <t>Step_086</t>
  </si>
  <si>
    <t>Step_087</t>
  </si>
  <si>
    <t>Step_088</t>
  </si>
  <si>
    <t>Step_089</t>
  </si>
  <si>
    <t>Step_090</t>
  </si>
  <si>
    <t>Step_091</t>
  </si>
  <si>
    <t>Step_092</t>
  </si>
  <si>
    <t>Step_093</t>
  </si>
  <si>
    <t>Step_094</t>
  </si>
  <si>
    <t>Step_095</t>
  </si>
  <si>
    <t>Step_096</t>
  </si>
  <si>
    <t>Step_097</t>
  </si>
  <si>
    <t>Step_098</t>
  </si>
  <si>
    <t>Step_099</t>
  </si>
  <si>
    <t>Step_100</t>
  </si>
  <si>
    <t>Step_101</t>
  </si>
  <si>
    <t>Step_102</t>
  </si>
  <si>
    <t>Step_103</t>
  </si>
  <si>
    <t>Step_104</t>
  </si>
  <si>
    <t>Step_105</t>
  </si>
  <si>
    <t>Step_106</t>
  </si>
  <si>
    <t>Step_107</t>
  </si>
  <si>
    <t>Step_108</t>
  </si>
  <si>
    <t>Step_109</t>
  </si>
  <si>
    <t>Step_110</t>
  </si>
  <si>
    <t>Step_111</t>
  </si>
  <si>
    <t>Step_112</t>
  </si>
  <si>
    <t>Step_113</t>
  </si>
  <si>
    <t>Step_114</t>
  </si>
  <si>
    <t>Step_115</t>
  </si>
  <si>
    <t>Step_116</t>
  </si>
  <si>
    <t>Step_117</t>
  </si>
  <si>
    <t>Step_118</t>
  </si>
  <si>
    <t>Step_119</t>
  </si>
  <si>
    <t>Step_120</t>
  </si>
  <si>
    <t>Step_121</t>
  </si>
  <si>
    <t>Step_122</t>
  </si>
  <si>
    <t>Step_123</t>
  </si>
  <si>
    <t>Step_124</t>
  </si>
  <si>
    <t>Step_125</t>
  </si>
  <si>
    <t>Step_126</t>
  </si>
  <si>
    <t>Step_127</t>
  </si>
  <si>
    <t>Step_128</t>
  </si>
  <si>
    <t>Step_129</t>
  </si>
  <si>
    <t>Step_130</t>
  </si>
  <si>
    <t>Step_131</t>
  </si>
  <si>
    <t>Step_132</t>
  </si>
  <si>
    <t>Step_133</t>
  </si>
  <si>
    <t>Step_134</t>
  </si>
  <si>
    <t>Step_135</t>
  </si>
  <si>
    <t>Step_136</t>
  </si>
  <si>
    <t>Step_137</t>
  </si>
  <si>
    <t>Step_138</t>
  </si>
  <si>
    <t>Step_139</t>
  </si>
  <si>
    <t>Step_140</t>
  </si>
  <si>
    <t>Step_141</t>
  </si>
  <si>
    <t>Step_142</t>
  </si>
  <si>
    <t>Step_143</t>
  </si>
  <si>
    <t>Step_144</t>
  </si>
  <si>
    <t>Step_145</t>
  </si>
  <si>
    <t>Step_146</t>
  </si>
  <si>
    <t>Step_147</t>
  </si>
  <si>
    <t>Step_148</t>
  </si>
  <si>
    <t>Step_149</t>
  </si>
  <si>
    <t>Step_150</t>
  </si>
  <si>
    <t>Step_151</t>
  </si>
  <si>
    <t>Step_152</t>
  </si>
  <si>
    <t>Step_153</t>
  </si>
  <si>
    <t>Step_154</t>
  </si>
  <si>
    <t>Step_155</t>
  </si>
  <si>
    <t>Step_156</t>
  </si>
  <si>
    <t>Step_157</t>
  </si>
  <si>
    <t>Step_158</t>
  </si>
  <si>
    <t>Step_159</t>
  </si>
  <si>
    <t>Step_160</t>
  </si>
  <si>
    <t>Step_161</t>
  </si>
  <si>
    <t>Step_162</t>
  </si>
  <si>
    <t>Step_163</t>
  </si>
  <si>
    <t>Step_164</t>
  </si>
  <si>
    <t>Step_165</t>
  </si>
  <si>
    <t>Step_166</t>
  </si>
  <si>
    <t>Step_167</t>
  </si>
  <si>
    <t>Step_168</t>
  </si>
  <si>
    <t>Step_169</t>
  </si>
  <si>
    <t>Step_170</t>
  </si>
  <si>
    <t>Step_171</t>
  </si>
  <si>
    <t>Step_172</t>
  </si>
  <si>
    <t>Step_173</t>
  </si>
  <si>
    <t>Step_174</t>
  </si>
  <si>
    <t>Step_175</t>
  </si>
  <si>
    <t>Step_176</t>
  </si>
  <si>
    <t>Step_177</t>
  </si>
  <si>
    <t>Step_178</t>
  </si>
  <si>
    <t>Step_179</t>
  </si>
  <si>
    <t>Step_180</t>
  </si>
  <si>
    <t>Step_181</t>
  </si>
  <si>
    <t>Step_182</t>
  </si>
  <si>
    <t>Step_183</t>
  </si>
  <si>
    <t>Step_184</t>
  </si>
  <si>
    <t>Step_185</t>
  </si>
  <si>
    <t>Step_186</t>
  </si>
  <si>
    <t>Step_187</t>
  </si>
  <si>
    <t>Step_188</t>
  </si>
  <si>
    <t>Step_189</t>
  </si>
  <si>
    <t>Step_190</t>
  </si>
  <si>
    <t>Step_191</t>
  </si>
  <si>
    <t>Step_192</t>
  </si>
  <si>
    <t>Step_193</t>
  </si>
  <si>
    <t>Step_194</t>
  </si>
  <si>
    <t>Step_195</t>
  </si>
  <si>
    <t>Step_196</t>
  </si>
  <si>
    <t>Step_197</t>
  </si>
  <si>
    <t>Step_198</t>
  </si>
  <si>
    <t>Step_199</t>
  </si>
  <si>
    <t>Step_200</t>
  </si>
  <si>
    <t>Fab Specification</t>
  </si>
  <si>
    <t>Current Output</t>
  </si>
  <si>
    <t>wafers per week</t>
  </si>
  <si>
    <t>Cleanroom Space for machines</t>
  </si>
  <si>
    <t>sqft</t>
  </si>
  <si>
    <t>For every expansion of fab or build new fab, the clean room space availability increase at the multiplication of 50,000 Sqft</t>
  </si>
  <si>
    <t>each wafers is transported inside a container we called "foup", it can take up to 25 wafers.</t>
  </si>
  <si>
    <t>Our analyst has assess that average travelling time between tools will follow below approximation:</t>
  </si>
  <si>
    <t>t (mins) = 1.5 +  (Tool count/1000)^2 + 1.2*(Tool count/1000)^3</t>
  </si>
  <si>
    <t>Cost of construction of new building is varied due to its complexity, new building construction will require more cost to build infrastructure that connect each fab. Below is the estimation of cost from our construction team:</t>
  </si>
  <si>
    <t>Cost of building construction in the same location</t>
  </si>
  <si>
    <t>Cost of building</t>
  </si>
  <si>
    <t>1st Building</t>
  </si>
  <si>
    <t>2nd Building</t>
  </si>
  <si>
    <t>3rd Building</t>
  </si>
  <si>
    <t>4th Building</t>
  </si>
  <si>
    <t>we expect delivery time impact if the delivery time is longer than 2mins as our machine will be idle and unable to utilized to their capability</t>
  </si>
  <si>
    <t>1. Eliminated workstations that are not in the steps</t>
  </si>
  <si>
    <t>2. Create a table called WSData</t>
  </si>
  <si>
    <t>Workings (Start from here)</t>
  </si>
  <si>
    <t>Workings (Continuing from WS Data Sheet)</t>
  </si>
  <si>
    <t>WaferPerBatch</t>
  </si>
  <si>
    <t>WSName</t>
  </si>
  <si>
    <t>StepName</t>
  </si>
  <si>
    <t>RPT</t>
  </si>
  <si>
    <t>LoadSize</t>
  </si>
  <si>
    <t>RPTBasis</t>
  </si>
  <si>
    <t>CapacityPerWeek</t>
  </si>
  <si>
    <t>ChmCount</t>
  </si>
  <si>
    <t>ToolPrice</t>
  </si>
  <si>
    <t>FootPrint</t>
  </si>
  <si>
    <t>LoadPort</t>
  </si>
  <si>
    <t>5. Export this sheet as a .csv file</t>
  </si>
  <si>
    <t>3. Calculate the Capacity per Week of each step by using the formula explained in the report (Refer to Section II.2)</t>
  </si>
  <si>
    <t>4. Calculate the (number of) Wafer(s) per Batch by multiplying the Load Size with the Chamber Count</t>
  </si>
  <si>
    <t>3. Export this WSData table as a .csv file called wsdata.csv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</si>
</sst>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43" formatCode="_(* #,##0.00_);_(* \(#,##0.00\);_(* &quot;-&quot;??_);_(@_)"/>
    <numFmt numFmtId="164" formatCode="_(&quot;$&quot;* #,##0_);_(&quot;$&quot;* \(#,##0\);_(&quot;$&quot;* &quot;-&quot;??_);_(@_)"/>
    <numFmt numFmtId="165" formatCode="_(* #,##0_);_(* \(#,##0\);_(* &quot;-&quot;??_);_(@_)"/>
  </numFmts>
  <fonts count="9"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rgb="FF333333"/>
      <name val="Arial"/>
      <family val="2"/>
    </font>
    <font>
      <sz val="11"/>
      <color theme="0"/>
      <name val="Calibri"/>
      <family val="2"/>
      <scheme val="minor"/>
    </font>
    <font>
      <b/>
      <sz val="12"/>
      <color theme="1"/>
      <name val="Calibri"/>
      <family val="2"/>
      <scheme val="minor"/>
    </font>
    <font>
      <b/>
      <sz val="12"/>
      <color rgb="FF000000"/>
      <name val="Calibri"/>
      <family val="2"/>
      <scheme val="minor"/>
    </font>
    <font>
      <sz val="12"/>
      <color theme="1"/>
      <name val="Calibri"/>
      <family val="2"/>
      <scheme val="minor"/>
    </font>
  </fonts>
  <fills count="6">
    <fill>
      <patternFill patternType="none"/>
    </fill>
    <fill>
      <patternFill patternType="gray125"/>
    </fill>
    <fill>
      <patternFill patternType="solid">
        <fgColor rgb="FF002060"/>
        <bgColor indexed="64"/>
      </patternFill>
    </fill>
    <fill>
      <patternFill patternType="solid">
        <fgColor rgb="FF7030A0"/>
        <bgColor indexed="64"/>
      </patternFill>
    </fill>
    <fill>
      <patternFill patternType="solid">
        <fgColor theme="8" tint="0.59999389629810485"/>
        <bgColor indexed="64"/>
      </patternFill>
    </fill>
    <fill>
      <patternFill patternType="solid">
        <fgColor rgb="FFE7E6E6"/>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rgb="FF000000"/>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style="medium">
        <color rgb="FF000000"/>
      </right>
      <top/>
      <bottom style="medium">
        <color rgb="FF000000"/>
      </bottom>
      <diagonal/>
    </border>
    <border>
      <left/>
      <right style="medium">
        <color indexed="64"/>
      </right>
      <top/>
      <bottom style="medium">
        <color rgb="FF000000"/>
      </bottom>
      <diagonal/>
    </border>
    <border>
      <left style="medium">
        <color indexed="64"/>
      </left>
      <right style="medium">
        <color rgb="FF000000"/>
      </right>
      <top/>
      <bottom/>
      <diagonal/>
    </border>
    <border>
      <left style="medium">
        <color rgb="FF000000"/>
      </left>
      <right style="medium">
        <color indexed="64"/>
      </right>
      <top style="medium">
        <color rgb="FF000000"/>
      </top>
      <bottom/>
      <diagonal/>
    </border>
    <border>
      <left style="medium">
        <color rgb="FF000000"/>
      </left>
      <right style="medium">
        <color indexed="64"/>
      </right>
      <top/>
      <bottom style="medium">
        <color rgb="FF000000"/>
      </bottom>
      <diagonal/>
    </border>
    <border>
      <left style="medium">
        <color indexed="64"/>
      </left>
      <right style="medium">
        <color rgb="FF000000"/>
      </right>
      <top/>
      <bottom style="medium">
        <color indexed="64"/>
      </bottom>
      <diagonal/>
    </border>
    <border>
      <left style="medium">
        <color rgb="FF000000"/>
      </left>
      <right style="medium">
        <color indexed="64"/>
      </right>
      <top/>
      <bottom style="medium">
        <color indexed="64"/>
      </bottom>
      <diagonal/>
    </border>
  </borders>
  <cellStyleXfs count="4">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cellStyleXfs>
  <cellXfs count="35">
    <xf numFmtId="0" fontId="0" fillId="0" borderId="0" xfId="0"/>
    <xf numFmtId="0" fontId="4" fillId="0" borderId="0" xfId="0" applyFont="1" applyAlignment="1">
      <alignment horizontal="left" vertical="center"/>
    </xf>
    <xf numFmtId="165" fontId="0" fillId="0" borderId="0" xfId="1" applyNumberFormat="1" applyFont="1"/>
    <xf numFmtId="0" fontId="2" fillId="2" borderId="0" xfId="0" applyFont="1" applyFill="1" applyAlignment="1">
      <alignment horizontal="center" vertical="center"/>
    </xf>
    <xf numFmtId="0" fontId="2" fillId="2" borderId="0" xfId="0" applyFont="1" applyFill="1"/>
    <xf numFmtId="9" fontId="2" fillId="2" borderId="0" xfId="3" applyFont="1" applyFill="1" applyAlignment="1">
      <alignment horizontal="center" vertical="center"/>
    </xf>
    <xf numFmtId="0" fontId="5" fillId="3" borderId="0" xfId="0" applyFont="1" applyFill="1"/>
    <xf numFmtId="0" fontId="3" fillId="0" borderId="0" xfId="0" applyFont="1"/>
    <xf numFmtId="165" fontId="3" fillId="0" borderId="0" xfId="1" applyNumberFormat="1" applyFont="1"/>
    <xf numFmtId="43" fontId="0" fillId="0" borderId="0" xfId="0" applyNumberFormat="1"/>
    <xf numFmtId="0" fontId="0" fillId="0" borderId="1" xfId="0" applyBorder="1"/>
    <xf numFmtId="164" fontId="0" fillId="0" borderId="1" xfId="2" applyNumberFormat="1" applyFont="1" applyBorder="1"/>
    <xf numFmtId="0" fontId="0" fillId="0" borderId="0" xfId="0" applyAlignment="1">
      <alignment horizontal="center"/>
    </xf>
    <xf numFmtId="9" fontId="4" fillId="0" borderId="0" xfId="3" applyFont="1" applyAlignment="1">
      <alignment horizontal="center" vertical="center"/>
    </xf>
    <xf numFmtId="0" fontId="4" fillId="0" borderId="0" xfId="0" applyFont="1" applyAlignment="1">
      <alignment horizontal="center" vertical="center"/>
    </xf>
    <xf numFmtId="164" fontId="0" fillId="0" borderId="0" xfId="2" applyNumberFormat="1" applyFont="1" applyAlignment="1">
      <alignment horizontal="center" vertical="center"/>
    </xf>
    <xf numFmtId="0" fontId="0" fillId="0" borderId="0" xfId="0" applyAlignment="1">
      <alignment horizontal="center" vertical="center"/>
    </xf>
    <xf numFmtId="1" fontId="0" fillId="0" borderId="0" xfId="0" applyNumberFormat="1" applyAlignment="1">
      <alignment horizontal="center" vertical="center"/>
    </xf>
    <xf numFmtId="9" fontId="0" fillId="0" borderId="0" xfId="3" applyFont="1" applyAlignment="1">
      <alignment horizontal="center" vertical="center"/>
    </xf>
    <xf numFmtId="0" fontId="3" fillId="4" borderId="1" xfId="0" applyFont="1" applyFill="1" applyBorder="1"/>
    <xf numFmtId="165" fontId="3" fillId="4" borderId="1" xfId="1" applyNumberFormat="1" applyFont="1" applyFill="1" applyBorder="1"/>
    <xf numFmtId="165" fontId="0" fillId="0" borderId="0" xfId="0" applyNumberFormat="1"/>
    <xf numFmtId="9" fontId="0" fillId="0" borderId="0" xfId="0" applyNumberFormat="1" applyAlignment="1">
      <alignment horizontal="center"/>
    </xf>
    <xf numFmtId="0" fontId="0" fillId="0" borderId="0" xfId="0" applyBorder="1"/>
    <xf numFmtId="0" fontId="8" fillId="0" borderId="0" xfId="0" applyFont="1" applyBorder="1" applyAlignment="1">
      <alignment vertical="center" wrapText="1"/>
    </xf>
    <xf numFmtId="0" fontId="6" fillId="5" borderId="2" xfId="0" applyFont="1" applyFill="1" applyBorder="1" applyAlignment="1">
      <alignment vertical="center" wrapText="1"/>
    </xf>
    <xf numFmtId="0" fontId="7" fillId="5" borderId="3" xfId="0" applyFont="1" applyFill="1" applyBorder="1" applyAlignment="1">
      <alignment vertical="center" wrapText="1"/>
    </xf>
    <xf numFmtId="0" fontId="8" fillId="0" borderId="4" xfId="0" applyFont="1" applyBorder="1" applyAlignment="1">
      <alignment vertical="center" wrapText="1"/>
    </xf>
    <xf numFmtId="0" fontId="8" fillId="0" borderId="5" xfId="0" applyFont="1" applyBorder="1" applyAlignment="1">
      <alignment vertical="center" wrapText="1"/>
    </xf>
    <xf numFmtId="0" fontId="8" fillId="0" borderId="6" xfId="0" applyFont="1" applyBorder="1" applyAlignment="1">
      <alignment vertical="center" wrapText="1"/>
    </xf>
    <xf numFmtId="0" fontId="8" fillId="0" borderId="9" xfId="0" applyFont="1" applyBorder="1" applyAlignment="1">
      <alignment vertical="center" wrapText="1"/>
    </xf>
    <xf numFmtId="0" fontId="8" fillId="0" borderId="10" xfId="0" applyFont="1" applyBorder="1" applyAlignment="1">
      <alignment vertical="center" wrapText="1"/>
    </xf>
    <xf numFmtId="3" fontId="0" fillId="0" borderId="0" xfId="0" applyNumberFormat="1"/>
    <xf numFmtId="0" fontId="8" fillId="0" borderId="7" xfId="0" applyFont="1" applyBorder="1" applyAlignment="1">
      <alignment vertical="center" wrapText="1"/>
    </xf>
    <xf numFmtId="0" fontId="8" fillId="0" borderId="8" xfId="0" applyFont="1" applyBorder="1" applyAlignment="1">
      <alignment vertical="center" wrapText="1"/>
    </xf>
  </cellXfs>
  <cellStyles count="4">
    <cellStyle name="Comma" xfId="1" builtinId="3"/>
    <cellStyle name="Currency" xfId="2" builtinId="4"/>
    <cellStyle name="Normal" xfId="0" builtinId="0"/>
    <cellStyle name="Percent" xfId="3" builtinId="5"/>
  </cellStyles>
  <dxfs count="11">
    <dxf>
      <numFmt numFmtId="3" formatCode="#,##0"/>
    </dxf>
    <dxf>
      <numFmt numFmtId="3" formatCode="#,##0"/>
    </dxf>
    <dxf>
      <font>
        <b val="0"/>
        <i val="0"/>
        <strike val="0"/>
        <condense val="0"/>
        <extend val="0"/>
        <outline val="0"/>
        <shadow val="0"/>
        <u val="none"/>
        <vertAlign val="baseline"/>
        <sz val="11"/>
        <color theme="0"/>
        <name val="Calibri"/>
        <family val="2"/>
        <scheme val="minor"/>
      </font>
      <fill>
        <patternFill patternType="solid">
          <fgColor indexed="64"/>
          <bgColor rgb="FF7030A0"/>
        </patternFill>
      </fill>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_(&quot;$&quot;* #,##0_);_(&quot;$&quot;* \(#,##0\);_(&quot;$&quot;* &quot;-&quot;??_);_(@_)"/>
      <alignment horizontal="center" vertical="center" textRotation="0" wrapText="0" indent="0" justifyLastLine="0" shrinkToFit="0" readingOrder="0"/>
    </dxf>
    <dxf>
      <font>
        <b val="0"/>
        <i val="0"/>
        <strike val="0"/>
        <condense val="0"/>
        <extend val="0"/>
        <outline val="0"/>
        <shadow val="0"/>
        <u val="none"/>
        <vertAlign val="baseline"/>
        <sz val="11"/>
        <color rgb="FF333333"/>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rgb="FF333333"/>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rgb="FF333333"/>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rgb="FF333333"/>
        <name val="Arial"/>
        <family val="2"/>
        <scheme val="none"/>
      </font>
      <alignment horizontal="left"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center" textRotation="0" wrapText="0" indent="0" justifyLastLine="0" shrinkToFit="0" readingOrder="0"/>
    </dxf>
  </dxfs>
  <tableStyles count="0" defaultTableStyle="TableStyleMedium2" defaultPivotStyle="PivotStyleLight16"/>
  <colors>
    <mruColors>
      <color rgb="FF53E0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247649</xdr:colOff>
      <xdr:row>6</xdr:row>
      <xdr:rowOff>114300</xdr:rowOff>
    </xdr:from>
    <xdr:to>
      <xdr:col>7</xdr:col>
      <xdr:colOff>28574</xdr:colOff>
      <xdr:row>19</xdr:row>
      <xdr:rowOff>56590</xdr:rowOff>
    </xdr:to>
    <xdr:pic>
      <xdr:nvPicPr>
        <xdr:cNvPr id="4" name="Picture 3">
          <a:extLst>
            <a:ext uri="{FF2B5EF4-FFF2-40B4-BE49-F238E27FC236}">
              <a16:creationId xmlns:a16="http://schemas.microsoft.com/office/drawing/2014/main" id="{A8040CA1-ACEE-4A16-9A6F-A36796480971}"/>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7249" y="1524000"/>
          <a:ext cx="3438525" cy="2952750"/>
        </a:xfrm>
        <a:prstGeom prst="rect">
          <a:avLst/>
        </a:prstGeom>
      </xdr:spPr>
    </xdr:pic>
    <xdr:clientData/>
  </xdr:twoCellAnchor>
  <xdr:twoCellAnchor>
    <xdr:from>
      <xdr:col>6</xdr:col>
      <xdr:colOff>342902</xdr:colOff>
      <xdr:row>9</xdr:row>
      <xdr:rowOff>78625</xdr:rowOff>
    </xdr:from>
    <xdr:to>
      <xdr:col>7</xdr:col>
      <xdr:colOff>314326</xdr:colOff>
      <xdr:row>9</xdr:row>
      <xdr:rowOff>133350</xdr:rowOff>
    </xdr:to>
    <xdr:cxnSp macro="">
      <xdr:nvCxnSpPr>
        <xdr:cNvPr id="6" name="Straight Arrow Connector 5">
          <a:extLst>
            <a:ext uri="{FF2B5EF4-FFF2-40B4-BE49-F238E27FC236}">
              <a16:creationId xmlns:a16="http://schemas.microsoft.com/office/drawing/2014/main" id="{7B0F5D92-434A-4840-959B-0C11968BA4D4}"/>
            </a:ext>
          </a:extLst>
        </xdr:cNvPr>
        <xdr:cNvCxnSpPr>
          <a:stCxn id="8" idx="1"/>
        </xdr:cNvCxnSpPr>
      </xdr:nvCxnSpPr>
      <xdr:spPr>
        <a:xfrm flipH="1">
          <a:off x="4000502" y="1793125"/>
          <a:ext cx="581024" cy="547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314326</xdr:colOff>
      <xdr:row>4</xdr:row>
      <xdr:rowOff>123825</xdr:rowOff>
    </xdr:from>
    <xdr:ext cx="2533650" cy="1814599"/>
    <xdr:sp macro="" textlink="">
      <xdr:nvSpPr>
        <xdr:cNvPr id="8" name="TextBox 7">
          <a:extLst>
            <a:ext uri="{FF2B5EF4-FFF2-40B4-BE49-F238E27FC236}">
              <a16:creationId xmlns:a16="http://schemas.microsoft.com/office/drawing/2014/main" id="{BFA30A6F-3694-46AD-A833-D72D42BF83D3}"/>
            </a:ext>
          </a:extLst>
        </xdr:cNvPr>
        <xdr:cNvSpPr txBox="1"/>
      </xdr:nvSpPr>
      <xdr:spPr>
        <a:xfrm>
          <a:off x="4581526" y="885825"/>
          <a:ext cx="2533650"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1">
              <a:solidFill>
                <a:srgbClr val="0070C0"/>
              </a:solidFill>
            </a:rPr>
            <a:t>Chamber:</a:t>
          </a:r>
          <a:r>
            <a:rPr lang="en-US" sz="1100" b="1" baseline="0">
              <a:solidFill>
                <a:srgbClr val="0070C0"/>
              </a:solidFill>
            </a:rPr>
            <a:t> </a:t>
          </a:r>
          <a:r>
            <a:rPr lang="en-US" sz="1100" baseline="0">
              <a:solidFill>
                <a:srgbClr val="0070C0"/>
              </a:solidFill>
            </a:rPr>
            <a:t>Place where the wafer is being process in the machine</a:t>
          </a:r>
        </a:p>
        <a:p>
          <a:br>
            <a:rPr lang="en-US" sz="1100" baseline="0">
              <a:solidFill>
                <a:srgbClr val="0070C0"/>
              </a:solidFill>
            </a:rPr>
          </a:br>
          <a:r>
            <a:rPr lang="en-US" sz="1100" b="1" baseline="0">
              <a:solidFill>
                <a:srgbClr val="0070C0"/>
              </a:solidFill>
            </a:rPr>
            <a:t>Load Size:</a:t>
          </a:r>
          <a:r>
            <a:rPr lang="en-US" sz="1100" baseline="0">
              <a:solidFill>
                <a:srgbClr val="0070C0"/>
              </a:solidFill>
            </a:rPr>
            <a:t> The number of wafers per chamber that can be loaded into a tool for the manufacturing step defined</a:t>
          </a:r>
          <a:br>
            <a:rPr lang="en-US" sz="1100" b="1" baseline="0">
              <a:solidFill>
                <a:srgbClr val="0070C0"/>
              </a:solidFill>
            </a:rPr>
          </a:br>
          <a:br>
            <a:rPr lang="en-US" sz="1100" b="1" baseline="0">
              <a:solidFill>
                <a:srgbClr val="0070C0"/>
              </a:solidFill>
            </a:rPr>
          </a:br>
          <a:r>
            <a:rPr lang="en-US" sz="1100" b="1" baseline="0">
              <a:solidFill>
                <a:srgbClr val="0070C0"/>
              </a:solidFill>
            </a:rPr>
            <a:t>Raw Processing Time </a:t>
          </a:r>
          <a:r>
            <a:rPr lang="en-US" sz="1100" b="0" baseline="0">
              <a:solidFill>
                <a:srgbClr val="0070C0"/>
              </a:solidFill>
            </a:rPr>
            <a:t>The time taken for a tool to complete the defined manufacturing step</a:t>
          </a:r>
          <a:endParaRPr lang="en-US" sz="1100" b="0">
            <a:solidFill>
              <a:srgbClr val="0070C0"/>
            </a:solidFill>
          </a:endParaRPr>
        </a:p>
      </xdr:txBody>
    </xdr:sp>
    <xdr:clientData/>
  </xdr:oneCellAnchor>
  <xdr:twoCellAnchor>
    <xdr:from>
      <xdr:col>5</xdr:col>
      <xdr:colOff>190500</xdr:colOff>
      <xdr:row>17</xdr:row>
      <xdr:rowOff>161925</xdr:rowOff>
    </xdr:from>
    <xdr:to>
      <xdr:col>6</xdr:col>
      <xdr:colOff>57153</xdr:colOff>
      <xdr:row>20</xdr:row>
      <xdr:rowOff>142875</xdr:rowOff>
    </xdr:to>
    <xdr:cxnSp macro="">
      <xdr:nvCxnSpPr>
        <xdr:cNvPr id="9" name="Straight Arrow Connector 8">
          <a:extLst>
            <a:ext uri="{FF2B5EF4-FFF2-40B4-BE49-F238E27FC236}">
              <a16:creationId xmlns:a16="http://schemas.microsoft.com/office/drawing/2014/main" id="{4669A3B1-E930-4B3E-ABEB-28FB47933318}"/>
            </a:ext>
          </a:extLst>
        </xdr:cNvPr>
        <xdr:cNvCxnSpPr/>
      </xdr:nvCxnSpPr>
      <xdr:spPr>
        <a:xfrm flipH="1" flipV="1">
          <a:off x="3238500" y="4219575"/>
          <a:ext cx="476253" cy="5524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104775</xdr:colOff>
      <xdr:row>20</xdr:row>
      <xdr:rowOff>152400</xdr:rowOff>
    </xdr:from>
    <xdr:ext cx="3079754" cy="264560"/>
    <xdr:sp macro="" textlink="">
      <xdr:nvSpPr>
        <xdr:cNvPr id="12" name="TextBox 11">
          <a:extLst>
            <a:ext uri="{FF2B5EF4-FFF2-40B4-BE49-F238E27FC236}">
              <a16:creationId xmlns:a16="http://schemas.microsoft.com/office/drawing/2014/main" id="{EFFB4513-D3B3-411C-81DF-E90AA0EF01A4}"/>
            </a:ext>
          </a:extLst>
        </xdr:cNvPr>
        <xdr:cNvSpPr txBox="1"/>
      </xdr:nvSpPr>
      <xdr:spPr>
        <a:xfrm>
          <a:off x="3152775" y="4781550"/>
          <a:ext cx="307975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rgbClr val="0070C0"/>
              </a:solidFill>
            </a:rPr>
            <a:t>Load Port:</a:t>
          </a:r>
          <a:r>
            <a:rPr lang="en-US" sz="1100" b="1" baseline="0">
              <a:solidFill>
                <a:srgbClr val="0070C0"/>
              </a:solidFill>
            </a:rPr>
            <a:t> </a:t>
          </a:r>
          <a:r>
            <a:rPr lang="en-US" sz="1100" b="0" baseline="0">
              <a:solidFill>
                <a:srgbClr val="0070C0"/>
              </a:solidFill>
            </a:rPr>
            <a:t>place where foup arrive to the machine</a:t>
          </a:r>
          <a:endParaRPr lang="en-US" sz="1100">
            <a:solidFill>
              <a:srgbClr val="0070C0"/>
            </a:solidFill>
          </a:endParaRPr>
        </a:p>
      </xdr:txBody>
    </xdr:sp>
    <xdr:clientData/>
  </xdr:oneCellAnchor>
  <xdr:twoCellAnchor>
    <xdr:from>
      <xdr:col>4</xdr:col>
      <xdr:colOff>361951</xdr:colOff>
      <xdr:row>14</xdr:row>
      <xdr:rowOff>38101</xdr:rowOff>
    </xdr:from>
    <xdr:to>
      <xdr:col>6</xdr:col>
      <xdr:colOff>361950</xdr:colOff>
      <xdr:row>16</xdr:row>
      <xdr:rowOff>28575</xdr:rowOff>
    </xdr:to>
    <xdr:cxnSp macro="">
      <xdr:nvCxnSpPr>
        <xdr:cNvPr id="13" name="Straight Arrow Connector 12">
          <a:extLst>
            <a:ext uri="{FF2B5EF4-FFF2-40B4-BE49-F238E27FC236}">
              <a16:creationId xmlns:a16="http://schemas.microsoft.com/office/drawing/2014/main" id="{F4FB7EE9-688A-42F8-AB72-89193A90891D}"/>
            </a:ext>
          </a:extLst>
        </xdr:cNvPr>
        <xdr:cNvCxnSpPr/>
      </xdr:nvCxnSpPr>
      <xdr:spPr>
        <a:xfrm flipH="1" flipV="1">
          <a:off x="2800351" y="2705101"/>
          <a:ext cx="1219199" cy="37147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371476</xdr:colOff>
      <xdr:row>15</xdr:row>
      <xdr:rowOff>95250</xdr:rowOff>
    </xdr:from>
    <xdr:ext cx="2457450" cy="609013"/>
    <xdr:sp macro="" textlink="">
      <xdr:nvSpPr>
        <xdr:cNvPr id="5" name="TextBox 13">
          <a:extLst>
            <a:ext uri="{FF2B5EF4-FFF2-40B4-BE49-F238E27FC236}">
              <a16:creationId xmlns:a16="http://schemas.microsoft.com/office/drawing/2014/main" id="{0517633E-CD79-4763-A781-C7FA72DE1305}"/>
            </a:ext>
          </a:extLst>
        </xdr:cNvPr>
        <xdr:cNvSpPr txBox="1"/>
      </xdr:nvSpPr>
      <xdr:spPr>
        <a:xfrm>
          <a:off x="4029076" y="2952750"/>
          <a:ext cx="2457450" cy="609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1">
              <a:solidFill>
                <a:srgbClr val="0070C0"/>
              </a:solidFill>
            </a:rPr>
            <a:t>Frame:</a:t>
          </a:r>
          <a:r>
            <a:rPr lang="en-US" sz="1100" b="1" baseline="0">
              <a:solidFill>
                <a:srgbClr val="0070C0"/>
              </a:solidFill>
            </a:rPr>
            <a:t> </a:t>
          </a:r>
          <a:r>
            <a:rPr lang="en-US" sz="1100" b="0" baseline="0">
              <a:solidFill>
                <a:srgbClr val="0070C0"/>
              </a:solidFill>
            </a:rPr>
            <a:t>Inside the machine, wafer are being taken out from the foup to be delivered to available chamber</a:t>
          </a:r>
          <a:endParaRPr lang="en-US" sz="1100">
            <a:solidFill>
              <a:srgbClr val="0070C0"/>
            </a:solidFill>
          </a:endParaRPr>
        </a:p>
      </xdr:txBody>
    </xdr:sp>
    <xdr:clientData/>
  </xdr:oneCellAnchor>
  <xdr:twoCellAnchor>
    <xdr:from>
      <xdr:col>1</xdr:col>
      <xdr:colOff>285750</xdr:colOff>
      <xdr:row>5</xdr:row>
      <xdr:rowOff>19050</xdr:rowOff>
    </xdr:from>
    <xdr:to>
      <xdr:col>6</xdr:col>
      <xdr:colOff>390525</xdr:colOff>
      <xdr:row>5</xdr:row>
      <xdr:rowOff>19050</xdr:rowOff>
    </xdr:to>
    <xdr:cxnSp macro="">
      <xdr:nvCxnSpPr>
        <xdr:cNvPr id="19" name="Straight Arrow Connector 18">
          <a:extLst>
            <a:ext uri="{FF2B5EF4-FFF2-40B4-BE49-F238E27FC236}">
              <a16:creationId xmlns:a16="http://schemas.microsoft.com/office/drawing/2014/main" id="{C3228563-BFC4-4B96-93EA-B74FE98C0557}"/>
            </a:ext>
          </a:extLst>
        </xdr:cNvPr>
        <xdr:cNvCxnSpPr/>
      </xdr:nvCxnSpPr>
      <xdr:spPr>
        <a:xfrm>
          <a:off x="895350" y="971550"/>
          <a:ext cx="3152775" cy="0"/>
        </a:xfrm>
        <a:prstGeom prst="straightConnector1">
          <a:avLst/>
        </a:prstGeom>
        <a:ln w="381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542925</xdr:colOff>
      <xdr:row>5</xdr:row>
      <xdr:rowOff>114300</xdr:rowOff>
    </xdr:from>
    <xdr:to>
      <xdr:col>0</xdr:col>
      <xdr:colOff>561975</xdr:colOff>
      <xdr:row>21</xdr:row>
      <xdr:rowOff>180975</xdr:rowOff>
    </xdr:to>
    <xdr:cxnSp macro="">
      <xdr:nvCxnSpPr>
        <xdr:cNvPr id="20" name="Straight Arrow Connector 19">
          <a:extLst>
            <a:ext uri="{FF2B5EF4-FFF2-40B4-BE49-F238E27FC236}">
              <a16:creationId xmlns:a16="http://schemas.microsoft.com/office/drawing/2014/main" id="{F30761C3-27AA-4CEE-8845-A1AF3B5F78F7}"/>
            </a:ext>
          </a:extLst>
        </xdr:cNvPr>
        <xdr:cNvCxnSpPr/>
      </xdr:nvCxnSpPr>
      <xdr:spPr>
        <a:xfrm>
          <a:off x="542925" y="1066800"/>
          <a:ext cx="19050" cy="3114675"/>
        </a:xfrm>
        <a:prstGeom prst="straightConnector1">
          <a:avLst/>
        </a:prstGeom>
        <a:ln w="381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xdr:col>
      <xdr:colOff>371476</xdr:colOff>
      <xdr:row>2</xdr:row>
      <xdr:rowOff>123825</xdr:rowOff>
    </xdr:from>
    <xdr:ext cx="2457450" cy="436786"/>
    <xdr:sp macro="" textlink="">
      <xdr:nvSpPr>
        <xdr:cNvPr id="22" name="TextBox 21">
          <a:extLst>
            <a:ext uri="{FF2B5EF4-FFF2-40B4-BE49-F238E27FC236}">
              <a16:creationId xmlns:a16="http://schemas.microsoft.com/office/drawing/2014/main" id="{C956E424-1772-4DB5-BD02-A93AB2AEDB58}"/>
            </a:ext>
          </a:extLst>
        </xdr:cNvPr>
        <xdr:cNvSpPr txBox="1"/>
      </xdr:nvSpPr>
      <xdr:spPr>
        <a:xfrm>
          <a:off x="981076" y="504825"/>
          <a:ext cx="24574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1">
              <a:solidFill>
                <a:srgbClr val="0070C0"/>
              </a:solidFill>
            </a:rPr>
            <a:t>Foot print:</a:t>
          </a:r>
          <a:r>
            <a:rPr lang="en-US" sz="1100" b="1" baseline="0">
              <a:solidFill>
                <a:srgbClr val="0070C0"/>
              </a:solidFill>
            </a:rPr>
            <a:t> </a:t>
          </a:r>
          <a:r>
            <a:rPr lang="en-US" sz="1100" b="0" baseline="0">
              <a:solidFill>
                <a:srgbClr val="0070C0"/>
              </a:solidFill>
            </a:rPr>
            <a:t>cleanroom size required to put the machine</a:t>
          </a:r>
          <a:endParaRPr lang="en-US" sz="1100">
            <a:solidFill>
              <a:srgbClr val="0070C0"/>
            </a:solidFill>
          </a:endParaRPr>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D538737-C011-644E-B106-2A630D4813E8}" name="WSData" displayName="WSData" ref="A1:G54" totalsRowShown="0" headerRowDxfId="10">
  <autoFilter ref="A1:G54" xr:uid="{FE4B9629-6537-1F43-AD36-6EE82D317CC4}"/>
  <sortState xmlns:xlrd2="http://schemas.microsoft.com/office/spreadsheetml/2017/richdata2" ref="A2:G54">
    <sortCondition ref="A1:A54"/>
  </sortState>
  <tableColumns count="7">
    <tableColumn id="1" xr3:uid="{7EC8ACD8-9651-034A-B5E5-AD3B80E689B6}" name="WSName" dataDxfId="9"/>
    <tableColumn id="2" xr3:uid="{72A86DE4-6D99-6D4D-8693-C5D0A2EC2259}" name="Availability%" dataDxfId="8" dataCellStyle="Percent"/>
    <tableColumn id="3" xr3:uid="{9D6D6025-D6C0-EA41-9E62-78946F5993BD}" name="Utilization%" dataDxfId="7" dataCellStyle="Percent"/>
    <tableColumn id="4" xr3:uid="{A9718F60-E770-CF46-BE06-80599C6CA6DD}" name="ChmCount" dataDxfId="6"/>
    <tableColumn id="5" xr3:uid="{5EF83D90-8F6A-9B4C-A2E1-548E4C059A60}" name="ToolPrice" dataDxfId="5" dataCellStyle="Currency"/>
    <tableColumn id="6" xr3:uid="{5F6B6BBB-E67C-DE42-8181-47F5E651B7BD}" name="FootPrint" dataDxfId="4"/>
    <tableColumn id="7" xr3:uid="{902FE6D2-C155-2748-86D1-B2A6E9D9934E}" name="LoadPort" dataDxfId="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8CB0C10-4749-074A-8631-276A715BB1A7}" name="Flow" displayName="Flow" ref="A1:G201" totalsRowShown="0" headerRowDxfId="2">
  <autoFilter ref="A1:G201" xr:uid="{94224E21-280B-4243-8820-716030268488}"/>
  <sortState xmlns:xlrd2="http://schemas.microsoft.com/office/spreadsheetml/2017/richdata2" ref="A2:E201">
    <sortCondition ref="B1:B201"/>
  </sortState>
  <tableColumns count="7">
    <tableColumn id="1" xr3:uid="{32D685CC-17BE-8B41-A645-A8C75A1E28E9}" name="StepName"/>
    <tableColumn id="2" xr3:uid="{F97A82A4-702B-D14A-A9D8-60D7FBD1BF71}" name="WSName"/>
    <tableColumn id="3" xr3:uid="{EB3DA230-1FB2-BA47-B9D3-154507FC45F2}" name="RPT"/>
    <tableColumn id="4" xr3:uid="{FD26E75D-3C15-1840-9BD0-67A91B404D5E}" name="LoadSize"/>
    <tableColumn id="5" xr3:uid="{CBCD6772-D74B-D94D-A415-F715FFCC6631}" name="RPTBasis"/>
    <tableColumn id="6" xr3:uid="{F6EB928C-71F7-D649-B7D4-CCDE0DA82E24}" name="CapacityPerWeek" dataDxfId="1">
      <calculatedColumnFormula>VLOOKUP(Flow[[#This Row],[WSName]], WSData[#All], 4, FALSE)*Flow[[#This Row],[LoadSize]]*FLOOR(24*7*60*VLOOKUP(Flow[[#This Row],[WSName]], WSData[#All], 3, FALSE)/Flow[[#This Row],[RPT]], 1)</calculatedColumnFormula>
    </tableColumn>
    <tableColumn id="7" xr3:uid="{D071CAA9-413D-434F-B16C-0CB711E6C80D}" name="WaferPerBatch" dataDxfId="0">
      <calculatedColumnFormula>Flow[[#This Row],[LoadSize]]*VLOOKUP(Flow[[#This Row],[WSName]], WSData[#All], 4, FALSE)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55117-C8DE-4202-A937-C11C1A6A9CDD}">
  <sheetPr>
    <tabColor theme="5" tint="0.39997558519241921"/>
  </sheetPr>
  <dimension ref="B2:P14"/>
  <sheetViews>
    <sheetView showGridLines="0" zoomScale="85" zoomScaleNormal="85" workbookViewId="0"/>
  </sheetViews>
  <sheetFormatPr baseColWidth="10" defaultColWidth="8.83203125" defaultRowHeight="15" x14ac:dyDescent="0.2"/>
  <cols>
    <col min="14" max="14" width="21.6640625" customWidth="1"/>
    <col min="15" max="15" width="96.5" customWidth="1"/>
  </cols>
  <sheetData>
    <row r="2" spans="2:16" x14ac:dyDescent="0.2">
      <c r="B2" s="7" t="s">
        <v>0</v>
      </c>
      <c r="J2" s="7"/>
    </row>
    <row r="3" spans="2:16" ht="16" thickBot="1" x14ac:dyDescent="0.25"/>
    <row r="4" spans="2:16" ht="18" thickBot="1" x14ac:dyDescent="0.25">
      <c r="N4" s="25" t="s">
        <v>1</v>
      </c>
      <c r="O4" s="26" t="s">
        <v>2</v>
      </c>
    </row>
    <row r="5" spans="2:16" ht="18" thickBot="1" x14ac:dyDescent="0.25">
      <c r="N5" s="27" t="s">
        <v>3</v>
      </c>
      <c r="O5" s="28" t="s">
        <v>4</v>
      </c>
    </row>
    <row r="6" spans="2:16" ht="18" thickBot="1" x14ac:dyDescent="0.25">
      <c r="N6" s="27" t="s">
        <v>5</v>
      </c>
      <c r="O6" s="28" t="s">
        <v>6</v>
      </c>
    </row>
    <row r="7" spans="2:16" ht="17" x14ac:dyDescent="0.2">
      <c r="N7" s="29" t="s">
        <v>7</v>
      </c>
      <c r="O7" s="33" t="s">
        <v>8</v>
      </c>
    </row>
    <row r="8" spans="2:16" ht="18" thickBot="1" x14ac:dyDescent="0.25">
      <c r="N8" s="27" t="s">
        <v>9</v>
      </c>
      <c r="O8" s="34"/>
    </row>
    <row r="9" spans="2:16" ht="35" thickBot="1" x14ac:dyDescent="0.25">
      <c r="N9" s="27" t="s">
        <v>10</v>
      </c>
      <c r="O9" s="28" t="s">
        <v>11</v>
      </c>
    </row>
    <row r="10" spans="2:16" ht="18" thickBot="1" x14ac:dyDescent="0.25">
      <c r="N10" s="27" t="s">
        <v>12</v>
      </c>
      <c r="O10" s="28" t="s">
        <v>13</v>
      </c>
    </row>
    <row r="11" spans="2:16" ht="18" thickBot="1" x14ac:dyDescent="0.25">
      <c r="N11" s="27" t="s">
        <v>14</v>
      </c>
      <c r="O11" s="28" t="s">
        <v>15</v>
      </c>
    </row>
    <row r="12" spans="2:16" ht="18" thickBot="1" x14ac:dyDescent="0.25">
      <c r="N12" s="27" t="s">
        <v>16</v>
      </c>
      <c r="O12" s="28" t="s">
        <v>17</v>
      </c>
    </row>
    <row r="13" spans="2:16" ht="35" thickBot="1" x14ac:dyDescent="0.25">
      <c r="N13" s="30" t="s">
        <v>18</v>
      </c>
      <c r="O13" s="31" t="s">
        <v>19</v>
      </c>
    </row>
    <row r="14" spans="2:16" ht="16" x14ac:dyDescent="0.2">
      <c r="N14" s="23"/>
      <c r="O14" s="24"/>
      <c r="P14" s="23"/>
    </row>
  </sheetData>
  <mergeCells count="1">
    <mergeCell ref="O7:O8"/>
  </mergeCells>
  <pageMargins left="0.7" right="0.7" top="0.75" bottom="0.75" header="0.3" footer="0.3"/>
  <pageSetup orientation="portrait" r:id="rId1"/>
  <headerFooter>
    <oddHeader>&amp;L&amp;"Calibri"&amp;9&amp;K000000Micron Confidential&amp;1#</oddHeader>
    <oddFooter>&amp;L&amp;1#&amp;"Calibri"&amp;9&amp;K000000Micron Confidential</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09758-7593-4385-98E3-A77277BDBC79}">
  <sheetPr codeName="Sheet2">
    <tabColor theme="9" tint="0.39997558519241921"/>
  </sheetPr>
  <dimension ref="A1:I105"/>
  <sheetViews>
    <sheetView tabSelected="1" zoomScale="160" zoomScaleNormal="160" workbookViewId="0">
      <selection activeCell="I6" sqref="I6"/>
    </sheetView>
  </sheetViews>
  <sheetFormatPr baseColWidth="10" defaultColWidth="8.83203125" defaultRowHeight="15" x14ac:dyDescent="0.2"/>
  <cols>
    <col min="1" max="1" width="17.5" bestFit="1" customWidth="1"/>
    <col min="2" max="2" width="17.5" style="16" customWidth="1"/>
    <col min="3" max="3" width="14.33203125" style="18" bestFit="1" customWidth="1"/>
    <col min="4" max="4" width="10.6640625" style="16" bestFit="1" customWidth="1"/>
    <col min="5" max="5" width="14.33203125" style="16" bestFit="1" customWidth="1"/>
    <col min="6" max="6" width="15.5" style="16" bestFit="1" customWidth="1"/>
    <col min="7" max="7" width="15.33203125" style="16" bestFit="1" customWidth="1"/>
  </cols>
  <sheetData>
    <row r="1" spans="1:9" x14ac:dyDescent="0.2">
      <c r="A1" s="4" t="s">
        <v>297</v>
      </c>
      <c r="B1" s="3" t="s">
        <v>20</v>
      </c>
      <c r="C1" s="5" t="s">
        <v>21</v>
      </c>
      <c r="D1" s="3" t="s">
        <v>303</v>
      </c>
      <c r="E1" s="3" t="s">
        <v>304</v>
      </c>
      <c r="F1" s="3" t="s">
        <v>305</v>
      </c>
      <c r="G1" s="3" t="s">
        <v>306</v>
      </c>
    </row>
    <row r="2" spans="1:9" x14ac:dyDescent="0.2">
      <c r="A2" s="1" t="s">
        <v>58</v>
      </c>
      <c r="B2" s="13">
        <v>0.95</v>
      </c>
      <c r="C2" s="13">
        <v>0.88</v>
      </c>
      <c r="D2" s="14">
        <v>1</v>
      </c>
      <c r="E2" s="15">
        <v>32000000</v>
      </c>
      <c r="F2" s="16">
        <v>80</v>
      </c>
      <c r="G2" s="17">
        <v>5</v>
      </c>
      <c r="I2" t="s">
        <v>294</v>
      </c>
    </row>
    <row r="3" spans="1:9" x14ac:dyDescent="0.2">
      <c r="A3" s="1" t="s">
        <v>42</v>
      </c>
      <c r="B3" s="13">
        <v>0.90499999999999992</v>
      </c>
      <c r="C3" s="13">
        <v>0.80499999999999994</v>
      </c>
      <c r="D3" s="14">
        <v>1</v>
      </c>
      <c r="E3" s="15">
        <v>1200000</v>
      </c>
      <c r="F3" s="16">
        <v>90</v>
      </c>
      <c r="G3" s="17">
        <v>2</v>
      </c>
      <c r="I3" t="s">
        <v>292</v>
      </c>
    </row>
    <row r="4" spans="1:9" x14ac:dyDescent="0.2">
      <c r="A4" s="1" t="s">
        <v>64</v>
      </c>
      <c r="B4" s="13">
        <v>0.93499999999999994</v>
      </c>
      <c r="C4" s="13">
        <v>0.83499999999999996</v>
      </c>
      <c r="D4" s="14">
        <v>1</v>
      </c>
      <c r="E4" s="15">
        <v>4700000</v>
      </c>
      <c r="F4" s="16">
        <v>190</v>
      </c>
      <c r="G4" s="17">
        <v>5</v>
      </c>
      <c r="I4" t="s">
        <v>293</v>
      </c>
    </row>
    <row r="5" spans="1:9" x14ac:dyDescent="0.2">
      <c r="A5" s="1" t="s">
        <v>47</v>
      </c>
      <c r="B5" s="13">
        <v>0.91999999999999993</v>
      </c>
      <c r="C5" s="13">
        <v>0.82</v>
      </c>
      <c r="D5" s="14">
        <v>3</v>
      </c>
      <c r="E5" s="15">
        <v>4800000</v>
      </c>
      <c r="F5" s="16">
        <v>10</v>
      </c>
      <c r="G5" s="17">
        <v>5</v>
      </c>
      <c r="I5" t="s">
        <v>310</v>
      </c>
    </row>
    <row r="6" spans="1:9" x14ac:dyDescent="0.2">
      <c r="A6" s="1" t="s">
        <v>70</v>
      </c>
      <c r="B6" s="13">
        <v>0.95</v>
      </c>
      <c r="C6" s="13">
        <v>0.87</v>
      </c>
      <c r="D6" s="14">
        <v>1</v>
      </c>
      <c r="E6" s="15">
        <v>4000000</v>
      </c>
      <c r="F6" s="16">
        <v>90</v>
      </c>
      <c r="G6" s="17">
        <v>5</v>
      </c>
    </row>
    <row r="7" spans="1:9" x14ac:dyDescent="0.2">
      <c r="A7" s="1" t="s">
        <v>51</v>
      </c>
      <c r="B7" s="13">
        <v>0.94</v>
      </c>
      <c r="C7" s="13">
        <v>0.84</v>
      </c>
      <c r="D7" s="14">
        <v>6</v>
      </c>
      <c r="E7" s="15">
        <v>6400000</v>
      </c>
      <c r="F7" s="16">
        <v>50</v>
      </c>
      <c r="G7" s="17">
        <v>5</v>
      </c>
    </row>
    <row r="8" spans="1:9" x14ac:dyDescent="0.2">
      <c r="A8" s="1" t="s">
        <v>56</v>
      </c>
      <c r="B8" s="13">
        <v>0.89</v>
      </c>
      <c r="C8" s="13">
        <v>0.79</v>
      </c>
      <c r="D8" s="14">
        <v>1</v>
      </c>
      <c r="E8" s="15">
        <v>3300000</v>
      </c>
      <c r="F8" s="16">
        <v>80</v>
      </c>
      <c r="G8" s="17">
        <v>4</v>
      </c>
    </row>
    <row r="9" spans="1:9" x14ac:dyDescent="0.2">
      <c r="A9" s="1" t="s">
        <v>63</v>
      </c>
      <c r="B9" s="13">
        <v>0.91999999999999993</v>
      </c>
      <c r="C9" s="13">
        <v>0.82</v>
      </c>
      <c r="D9" s="14">
        <v>1</v>
      </c>
      <c r="E9" s="15">
        <v>6100000</v>
      </c>
      <c r="F9" s="16">
        <v>10</v>
      </c>
      <c r="G9" s="17">
        <v>5</v>
      </c>
    </row>
    <row r="10" spans="1:9" x14ac:dyDescent="0.2">
      <c r="A10" s="1" t="s">
        <v>68</v>
      </c>
      <c r="B10" s="13">
        <v>0.85499999999999987</v>
      </c>
      <c r="C10" s="13">
        <v>0.75499999999999989</v>
      </c>
      <c r="D10" s="14">
        <v>1</v>
      </c>
      <c r="E10" s="15">
        <v>1600000</v>
      </c>
      <c r="F10" s="16">
        <v>160</v>
      </c>
      <c r="G10" s="17">
        <v>2</v>
      </c>
    </row>
    <row r="11" spans="1:9" x14ac:dyDescent="0.2">
      <c r="A11" s="1" t="s">
        <v>32</v>
      </c>
      <c r="B11" s="13">
        <v>0.9</v>
      </c>
      <c r="C11" s="13">
        <v>0.8</v>
      </c>
      <c r="D11" s="14">
        <v>2</v>
      </c>
      <c r="E11" s="15">
        <v>600000</v>
      </c>
      <c r="F11" s="16">
        <v>140</v>
      </c>
      <c r="G11" s="17">
        <v>2</v>
      </c>
    </row>
    <row r="12" spans="1:9" x14ac:dyDescent="0.2">
      <c r="A12" s="1" t="s">
        <v>40</v>
      </c>
      <c r="B12" s="13">
        <v>0.88</v>
      </c>
      <c r="C12" s="13">
        <v>0.78</v>
      </c>
      <c r="D12" s="14">
        <v>1</v>
      </c>
      <c r="E12" s="15">
        <v>1100000</v>
      </c>
      <c r="F12" s="16">
        <v>130</v>
      </c>
      <c r="G12" s="17">
        <v>2</v>
      </c>
    </row>
    <row r="13" spans="1:9" x14ac:dyDescent="0.2">
      <c r="A13" s="1" t="s">
        <v>45</v>
      </c>
      <c r="B13" s="13">
        <v>0.95</v>
      </c>
      <c r="C13" s="13">
        <v>0.88</v>
      </c>
      <c r="D13" s="14">
        <v>2</v>
      </c>
      <c r="E13" s="15">
        <v>1700000</v>
      </c>
      <c r="F13" s="16">
        <v>160</v>
      </c>
      <c r="G13" s="17">
        <v>2</v>
      </c>
    </row>
    <row r="14" spans="1:9" x14ac:dyDescent="0.2">
      <c r="A14" s="1" t="s">
        <v>44</v>
      </c>
      <c r="B14" s="13">
        <v>0.81666666666666665</v>
      </c>
      <c r="C14" s="13">
        <v>0.71666666666666667</v>
      </c>
      <c r="D14" s="14">
        <v>1</v>
      </c>
      <c r="E14" s="15">
        <v>1700000</v>
      </c>
      <c r="F14" s="16">
        <v>10</v>
      </c>
      <c r="G14" s="17">
        <v>2</v>
      </c>
    </row>
    <row r="15" spans="1:9" x14ac:dyDescent="0.2">
      <c r="A15" s="1" t="s">
        <v>43</v>
      </c>
      <c r="B15" s="13">
        <v>0.89</v>
      </c>
      <c r="C15" s="13">
        <v>0.79</v>
      </c>
      <c r="D15" s="14">
        <v>1</v>
      </c>
      <c r="E15" s="15">
        <v>1300000</v>
      </c>
      <c r="F15" s="16">
        <v>200</v>
      </c>
      <c r="G15" s="17">
        <v>2</v>
      </c>
    </row>
    <row r="16" spans="1:9" x14ac:dyDescent="0.2">
      <c r="A16" s="1" t="s">
        <v>55</v>
      </c>
      <c r="B16" s="13">
        <v>0.77</v>
      </c>
      <c r="C16" s="13">
        <v>0.67</v>
      </c>
      <c r="D16" s="14">
        <v>1</v>
      </c>
      <c r="E16" s="15">
        <v>3100000</v>
      </c>
      <c r="F16" s="16">
        <v>100</v>
      </c>
      <c r="G16" s="17">
        <v>4</v>
      </c>
    </row>
    <row r="17" spans="1:7" x14ac:dyDescent="0.2">
      <c r="A17" s="1" t="s">
        <v>39</v>
      </c>
      <c r="B17" s="13">
        <v>0.79249999999999998</v>
      </c>
      <c r="C17" s="13">
        <v>0.6925</v>
      </c>
      <c r="D17" s="14">
        <v>1</v>
      </c>
      <c r="E17" s="15">
        <v>1700000</v>
      </c>
      <c r="F17" s="16">
        <v>60</v>
      </c>
      <c r="G17" s="17">
        <v>2</v>
      </c>
    </row>
    <row r="18" spans="1:7" x14ac:dyDescent="0.2">
      <c r="A18" s="1" t="s">
        <v>59</v>
      </c>
      <c r="B18" s="13">
        <v>0.95</v>
      </c>
      <c r="C18" s="13">
        <v>0.92</v>
      </c>
      <c r="D18" s="14">
        <v>1</v>
      </c>
      <c r="E18" s="15">
        <v>20400000</v>
      </c>
      <c r="F18" s="16">
        <v>70</v>
      </c>
      <c r="G18" s="17">
        <v>5</v>
      </c>
    </row>
    <row r="19" spans="1:7" x14ac:dyDescent="0.2">
      <c r="A19" s="1" t="s">
        <v>61</v>
      </c>
      <c r="B19" s="13">
        <v>0.95</v>
      </c>
      <c r="C19" s="13">
        <v>0.85</v>
      </c>
      <c r="D19" s="14">
        <v>1</v>
      </c>
      <c r="E19" s="15">
        <v>3700000</v>
      </c>
      <c r="F19" s="16">
        <v>100</v>
      </c>
      <c r="G19" s="17">
        <v>4</v>
      </c>
    </row>
    <row r="20" spans="1:7" x14ac:dyDescent="0.2">
      <c r="A20" s="1" t="s">
        <v>31</v>
      </c>
      <c r="B20" s="13">
        <v>0.79999999999999993</v>
      </c>
      <c r="C20" s="13">
        <v>0.7</v>
      </c>
      <c r="D20" s="14">
        <v>2</v>
      </c>
      <c r="E20" s="15">
        <v>4100000</v>
      </c>
      <c r="F20" s="16">
        <v>120</v>
      </c>
      <c r="G20" s="17">
        <v>5</v>
      </c>
    </row>
    <row r="21" spans="1:7" x14ac:dyDescent="0.2">
      <c r="A21" s="1" t="s">
        <v>71</v>
      </c>
      <c r="B21" s="13">
        <v>0.94</v>
      </c>
      <c r="C21" s="13">
        <v>0.84</v>
      </c>
      <c r="D21" s="14">
        <v>3</v>
      </c>
      <c r="E21" s="15">
        <v>2600000</v>
      </c>
      <c r="F21" s="16">
        <v>180</v>
      </c>
      <c r="G21" s="17">
        <v>3</v>
      </c>
    </row>
    <row r="22" spans="1:7" x14ac:dyDescent="0.2">
      <c r="A22" s="1" t="s">
        <v>57</v>
      </c>
      <c r="B22" s="13">
        <v>0.94</v>
      </c>
      <c r="C22" s="13">
        <v>0.84</v>
      </c>
      <c r="D22" s="14">
        <v>1</v>
      </c>
      <c r="E22" s="15">
        <v>79500000</v>
      </c>
      <c r="F22" s="16">
        <v>10</v>
      </c>
      <c r="G22" s="17">
        <v>5</v>
      </c>
    </row>
    <row r="23" spans="1:7" x14ac:dyDescent="0.2">
      <c r="A23" s="1" t="s">
        <v>53</v>
      </c>
      <c r="B23" s="13">
        <v>0.95</v>
      </c>
      <c r="C23" s="13">
        <v>0.86</v>
      </c>
      <c r="D23" s="14">
        <v>6</v>
      </c>
      <c r="E23" s="15">
        <v>6100000</v>
      </c>
      <c r="F23" s="16">
        <v>160</v>
      </c>
      <c r="G23" s="17">
        <v>5</v>
      </c>
    </row>
    <row r="24" spans="1:7" x14ac:dyDescent="0.2">
      <c r="A24" s="1" t="s">
        <v>66</v>
      </c>
      <c r="B24" s="13">
        <v>0.82499999999999996</v>
      </c>
      <c r="C24" s="13">
        <v>0.72499999999999998</v>
      </c>
      <c r="D24" s="14">
        <v>1</v>
      </c>
      <c r="E24" s="15">
        <v>1600000</v>
      </c>
      <c r="F24" s="16">
        <v>140</v>
      </c>
      <c r="G24" s="17">
        <v>2</v>
      </c>
    </row>
    <row r="25" spans="1:7" x14ac:dyDescent="0.2">
      <c r="A25" s="1" t="s">
        <v>24</v>
      </c>
      <c r="B25" s="13">
        <v>0.75</v>
      </c>
      <c r="C25" s="13">
        <v>0.65</v>
      </c>
      <c r="D25" s="14">
        <v>5</v>
      </c>
      <c r="E25" s="15">
        <v>6900000</v>
      </c>
      <c r="F25" s="16">
        <v>20</v>
      </c>
      <c r="G25" s="17">
        <v>5</v>
      </c>
    </row>
    <row r="26" spans="1:7" x14ac:dyDescent="0.2">
      <c r="A26" s="1" t="s">
        <v>49</v>
      </c>
      <c r="B26" s="13">
        <v>0.91499999999999992</v>
      </c>
      <c r="C26" s="13">
        <v>0.81499999999999995</v>
      </c>
      <c r="D26" s="14">
        <v>3</v>
      </c>
      <c r="E26" s="15">
        <v>3400000</v>
      </c>
      <c r="F26" s="16">
        <v>30</v>
      </c>
      <c r="G26" s="17">
        <v>4</v>
      </c>
    </row>
    <row r="27" spans="1:7" x14ac:dyDescent="0.2">
      <c r="A27" s="1" t="s">
        <v>48</v>
      </c>
      <c r="B27" s="13">
        <v>0.91999999999999993</v>
      </c>
      <c r="C27" s="13">
        <v>0.82</v>
      </c>
      <c r="D27" s="14">
        <v>6</v>
      </c>
      <c r="E27" s="15">
        <v>7300000</v>
      </c>
      <c r="F27" s="16">
        <v>120</v>
      </c>
      <c r="G27" s="17">
        <v>5</v>
      </c>
    </row>
    <row r="28" spans="1:7" x14ac:dyDescent="0.2">
      <c r="A28" s="1" t="s">
        <v>29</v>
      </c>
      <c r="B28" s="13">
        <v>0.85</v>
      </c>
      <c r="C28" s="13">
        <v>0.75</v>
      </c>
      <c r="D28" s="14">
        <v>3</v>
      </c>
      <c r="E28" s="15">
        <v>3700000</v>
      </c>
      <c r="F28" s="16">
        <v>180</v>
      </c>
      <c r="G28" s="17">
        <v>4</v>
      </c>
    </row>
    <row r="29" spans="1:7" x14ac:dyDescent="0.2">
      <c r="A29" s="1" t="s">
        <v>33</v>
      </c>
      <c r="B29" s="13">
        <v>0.79</v>
      </c>
      <c r="C29" s="13">
        <v>0.69000000000000006</v>
      </c>
      <c r="D29" s="14">
        <v>4</v>
      </c>
      <c r="E29" s="15">
        <v>4800000</v>
      </c>
      <c r="F29" s="16">
        <v>180</v>
      </c>
      <c r="G29" s="17">
        <v>5</v>
      </c>
    </row>
    <row r="30" spans="1:7" x14ac:dyDescent="0.2">
      <c r="A30" s="1" t="s">
        <v>52</v>
      </c>
      <c r="B30" s="13">
        <v>0.95</v>
      </c>
      <c r="C30" s="13">
        <v>0.86</v>
      </c>
      <c r="D30" s="14">
        <v>6</v>
      </c>
      <c r="E30" s="15">
        <v>5300000</v>
      </c>
      <c r="F30" s="16">
        <v>10</v>
      </c>
      <c r="G30" s="17">
        <v>5</v>
      </c>
    </row>
    <row r="31" spans="1:7" x14ac:dyDescent="0.2">
      <c r="A31" s="1" t="s">
        <v>26</v>
      </c>
      <c r="B31" s="13">
        <v>0.92499999999999993</v>
      </c>
      <c r="C31" s="13">
        <v>0.82499999999999996</v>
      </c>
      <c r="D31" s="14">
        <v>3</v>
      </c>
      <c r="E31" s="15">
        <v>2800000</v>
      </c>
      <c r="F31" s="16">
        <v>200</v>
      </c>
      <c r="G31" s="17">
        <v>3</v>
      </c>
    </row>
    <row r="32" spans="1:7" x14ac:dyDescent="0.2">
      <c r="A32" s="1" t="s">
        <v>54</v>
      </c>
      <c r="B32" s="13">
        <v>0.82</v>
      </c>
      <c r="C32" s="13">
        <v>0.72</v>
      </c>
      <c r="D32" s="14">
        <v>1</v>
      </c>
      <c r="E32" s="15">
        <v>3900000</v>
      </c>
      <c r="F32" s="16">
        <v>60</v>
      </c>
      <c r="G32" s="17">
        <v>4</v>
      </c>
    </row>
    <row r="33" spans="1:7" x14ac:dyDescent="0.2">
      <c r="A33" s="1" t="s">
        <v>46</v>
      </c>
      <c r="B33" s="13">
        <v>0.95</v>
      </c>
      <c r="C33" s="13">
        <v>0.875</v>
      </c>
      <c r="D33" s="14">
        <v>2</v>
      </c>
      <c r="E33" s="15">
        <v>2800000</v>
      </c>
      <c r="F33" s="16">
        <v>40</v>
      </c>
      <c r="G33" s="17">
        <v>3</v>
      </c>
    </row>
    <row r="34" spans="1:7" x14ac:dyDescent="0.2">
      <c r="A34" s="1" t="s">
        <v>72</v>
      </c>
      <c r="B34" s="13">
        <v>0.9</v>
      </c>
      <c r="C34" s="13">
        <v>0.8</v>
      </c>
      <c r="D34" s="14">
        <v>16</v>
      </c>
      <c r="E34" s="15">
        <v>5500000</v>
      </c>
      <c r="F34" s="16">
        <v>190</v>
      </c>
      <c r="G34" s="17">
        <v>5</v>
      </c>
    </row>
    <row r="35" spans="1:7" x14ac:dyDescent="0.2">
      <c r="A35" s="1" t="s">
        <v>67</v>
      </c>
      <c r="B35" s="13">
        <v>0.83</v>
      </c>
      <c r="C35" s="13">
        <v>0.73</v>
      </c>
      <c r="D35" s="14">
        <v>1</v>
      </c>
      <c r="E35" s="15">
        <v>2100000</v>
      </c>
      <c r="F35" s="16">
        <v>50</v>
      </c>
      <c r="G35" s="17">
        <v>3</v>
      </c>
    </row>
    <row r="36" spans="1:7" x14ac:dyDescent="0.2">
      <c r="A36" s="1" t="s">
        <v>28</v>
      </c>
      <c r="B36" s="13">
        <v>0.91999999999999993</v>
      </c>
      <c r="C36" s="13">
        <v>0.82</v>
      </c>
      <c r="D36" s="14">
        <v>3</v>
      </c>
      <c r="E36" s="15">
        <v>3900000</v>
      </c>
      <c r="F36" s="16">
        <v>120</v>
      </c>
      <c r="G36" s="17">
        <v>4</v>
      </c>
    </row>
    <row r="37" spans="1:7" x14ac:dyDescent="0.2">
      <c r="A37" s="1" t="s">
        <v>27</v>
      </c>
      <c r="B37" s="13">
        <v>0.91</v>
      </c>
      <c r="C37" s="13">
        <v>0.81</v>
      </c>
      <c r="D37" s="14">
        <v>3</v>
      </c>
      <c r="E37" s="15">
        <v>2900000</v>
      </c>
      <c r="F37" s="16">
        <v>20</v>
      </c>
      <c r="G37" s="17">
        <v>3</v>
      </c>
    </row>
    <row r="38" spans="1:7" x14ac:dyDescent="0.2">
      <c r="A38" s="1" t="s">
        <v>35</v>
      </c>
      <c r="B38" s="13">
        <v>0.80999999999999994</v>
      </c>
      <c r="C38" s="13">
        <v>0.71</v>
      </c>
      <c r="D38" s="14">
        <v>1</v>
      </c>
      <c r="E38" s="15">
        <v>1300000</v>
      </c>
      <c r="F38" s="16">
        <v>180</v>
      </c>
      <c r="G38" s="17">
        <v>2</v>
      </c>
    </row>
    <row r="39" spans="1:7" x14ac:dyDescent="0.2">
      <c r="A39" s="1" t="s">
        <v>36</v>
      </c>
      <c r="B39" s="13">
        <v>0.82333333333333325</v>
      </c>
      <c r="C39" s="13">
        <v>0.72333333333333327</v>
      </c>
      <c r="D39" s="14">
        <v>1</v>
      </c>
      <c r="E39" s="15">
        <v>1500000</v>
      </c>
      <c r="F39" s="16">
        <v>180</v>
      </c>
      <c r="G39" s="17">
        <v>2</v>
      </c>
    </row>
    <row r="40" spans="1:7" x14ac:dyDescent="0.2">
      <c r="A40" s="1" t="s">
        <v>65</v>
      </c>
      <c r="B40" s="13">
        <v>0.92999999999999994</v>
      </c>
      <c r="C40" s="13">
        <v>0.83</v>
      </c>
      <c r="D40" s="14">
        <v>1</v>
      </c>
      <c r="E40" s="15">
        <v>4300000</v>
      </c>
      <c r="F40" s="16">
        <v>100</v>
      </c>
      <c r="G40" s="17">
        <v>5</v>
      </c>
    </row>
    <row r="41" spans="1:7" x14ac:dyDescent="0.2">
      <c r="A41" s="1" t="s">
        <v>38</v>
      </c>
      <c r="B41" s="13">
        <v>0.88</v>
      </c>
      <c r="C41" s="13">
        <v>0.78</v>
      </c>
      <c r="D41" s="14">
        <v>1</v>
      </c>
      <c r="E41" s="15">
        <v>1200000</v>
      </c>
      <c r="F41" s="16">
        <v>120</v>
      </c>
      <c r="G41" s="17">
        <v>2</v>
      </c>
    </row>
    <row r="42" spans="1:7" x14ac:dyDescent="0.2">
      <c r="A42" s="1" t="s">
        <v>74</v>
      </c>
      <c r="B42" s="13">
        <v>0.75</v>
      </c>
      <c r="C42" s="13">
        <v>0.65</v>
      </c>
      <c r="D42" s="14">
        <v>1</v>
      </c>
      <c r="E42" s="15">
        <v>2400000</v>
      </c>
      <c r="F42" s="16">
        <v>140</v>
      </c>
      <c r="G42" s="17">
        <v>3</v>
      </c>
    </row>
    <row r="43" spans="1:7" x14ac:dyDescent="0.2">
      <c r="A43" s="1" t="s">
        <v>62</v>
      </c>
      <c r="B43" s="13">
        <v>0.95</v>
      </c>
      <c r="C43" s="13">
        <v>0.85</v>
      </c>
      <c r="D43" s="14">
        <v>1</v>
      </c>
      <c r="E43" s="15">
        <v>4300000</v>
      </c>
      <c r="F43" s="16">
        <v>50</v>
      </c>
      <c r="G43" s="17">
        <v>5</v>
      </c>
    </row>
    <row r="44" spans="1:7" x14ac:dyDescent="0.2">
      <c r="A44" s="1" t="s">
        <v>41</v>
      </c>
      <c r="B44" s="13">
        <v>0.91</v>
      </c>
      <c r="C44" s="13">
        <v>0.81</v>
      </c>
      <c r="D44" s="14">
        <v>1</v>
      </c>
      <c r="E44" s="15">
        <v>1000000</v>
      </c>
      <c r="F44" s="16">
        <v>40</v>
      </c>
      <c r="G44" s="17">
        <v>2</v>
      </c>
    </row>
    <row r="45" spans="1:7" x14ac:dyDescent="0.2">
      <c r="A45" s="1" t="s">
        <v>25</v>
      </c>
      <c r="B45" s="13">
        <v>0.83333333333333337</v>
      </c>
      <c r="C45" s="13">
        <v>0.73333333333333339</v>
      </c>
      <c r="D45" s="14">
        <v>3</v>
      </c>
      <c r="E45" s="15">
        <v>4300000</v>
      </c>
      <c r="F45" s="16">
        <v>160</v>
      </c>
      <c r="G45" s="17">
        <v>5</v>
      </c>
    </row>
    <row r="46" spans="1:7" x14ac:dyDescent="0.2">
      <c r="A46" s="1" t="s">
        <v>34</v>
      </c>
      <c r="B46" s="13">
        <v>0.81499999999999995</v>
      </c>
      <c r="C46" s="13">
        <v>0.71499999999999997</v>
      </c>
      <c r="D46" s="14">
        <v>4</v>
      </c>
      <c r="E46" s="15">
        <v>4400000</v>
      </c>
      <c r="F46" s="16">
        <v>100</v>
      </c>
      <c r="G46" s="17">
        <v>5</v>
      </c>
    </row>
    <row r="47" spans="1:7" x14ac:dyDescent="0.2">
      <c r="A47" s="1" t="s">
        <v>23</v>
      </c>
      <c r="B47" s="13">
        <v>0.90749999999999986</v>
      </c>
      <c r="C47" s="13">
        <v>0.80749999999999988</v>
      </c>
      <c r="D47" s="14">
        <v>1</v>
      </c>
      <c r="E47" s="15">
        <v>3500000</v>
      </c>
      <c r="F47" s="16">
        <v>60</v>
      </c>
      <c r="G47" s="17">
        <v>4</v>
      </c>
    </row>
    <row r="48" spans="1:7" x14ac:dyDescent="0.2">
      <c r="A48" s="1" t="s">
        <v>22</v>
      </c>
      <c r="B48" s="13">
        <v>0.859375</v>
      </c>
      <c r="C48" s="13">
        <v>0.75937500000000002</v>
      </c>
      <c r="D48" s="14">
        <v>1</v>
      </c>
      <c r="E48" s="15">
        <v>3700000</v>
      </c>
      <c r="F48" s="16">
        <v>110</v>
      </c>
      <c r="G48" s="17">
        <v>4</v>
      </c>
    </row>
    <row r="49" spans="1:7" x14ac:dyDescent="0.2">
      <c r="A49" s="1" t="s">
        <v>50</v>
      </c>
      <c r="B49" s="13">
        <v>0.90000000000000013</v>
      </c>
      <c r="C49" s="13">
        <v>0.80000000000000016</v>
      </c>
      <c r="D49" s="14">
        <v>6</v>
      </c>
      <c r="E49" s="15">
        <v>8400000</v>
      </c>
      <c r="F49" s="16">
        <v>130</v>
      </c>
      <c r="G49" s="17">
        <v>5</v>
      </c>
    </row>
    <row r="50" spans="1:7" x14ac:dyDescent="0.2">
      <c r="A50" s="1" t="s">
        <v>73</v>
      </c>
      <c r="B50" s="13">
        <v>0.95</v>
      </c>
      <c r="C50" s="13">
        <v>0.85</v>
      </c>
      <c r="D50" s="14">
        <v>2</v>
      </c>
      <c r="E50" s="15">
        <v>400000</v>
      </c>
      <c r="F50" s="16">
        <v>110</v>
      </c>
      <c r="G50" s="17">
        <v>2</v>
      </c>
    </row>
    <row r="51" spans="1:7" x14ac:dyDescent="0.2">
      <c r="A51" s="1" t="s">
        <v>60</v>
      </c>
      <c r="B51" s="13">
        <v>0.95</v>
      </c>
      <c r="C51" s="13">
        <v>0.91</v>
      </c>
      <c r="D51" s="14">
        <v>1</v>
      </c>
      <c r="E51" s="15">
        <v>6700000</v>
      </c>
      <c r="F51" s="16">
        <v>20</v>
      </c>
      <c r="G51" s="17">
        <v>5</v>
      </c>
    </row>
    <row r="52" spans="1:7" x14ac:dyDescent="0.2">
      <c r="A52" s="1" t="s">
        <v>69</v>
      </c>
      <c r="B52" s="13">
        <v>0.95</v>
      </c>
      <c r="C52" s="13">
        <v>0.88</v>
      </c>
      <c r="D52" s="14">
        <v>1</v>
      </c>
      <c r="E52" s="15">
        <v>600000</v>
      </c>
      <c r="F52" s="16">
        <v>120</v>
      </c>
      <c r="G52" s="17">
        <v>2</v>
      </c>
    </row>
    <row r="53" spans="1:7" x14ac:dyDescent="0.2">
      <c r="A53" s="1" t="s">
        <v>30</v>
      </c>
      <c r="B53" s="13">
        <v>0.85</v>
      </c>
      <c r="C53" s="13">
        <v>0.75</v>
      </c>
      <c r="D53" s="14">
        <v>3</v>
      </c>
      <c r="E53" s="15">
        <v>4500000</v>
      </c>
      <c r="F53" s="16">
        <v>160</v>
      </c>
      <c r="G53" s="17">
        <v>5</v>
      </c>
    </row>
    <row r="54" spans="1:7" x14ac:dyDescent="0.2">
      <c r="A54" s="1" t="s">
        <v>37</v>
      </c>
      <c r="B54" s="13">
        <v>0.76999999999999991</v>
      </c>
      <c r="C54" s="13">
        <v>0.66999999999999993</v>
      </c>
      <c r="D54" s="14">
        <v>1</v>
      </c>
      <c r="E54" s="15">
        <v>500000</v>
      </c>
      <c r="F54" s="16">
        <v>120</v>
      </c>
      <c r="G54" s="17">
        <v>2</v>
      </c>
    </row>
    <row r="55" spans="1:7" x14ac:dyDescent="0.2">
      <c r="A55" s="1"/>
      <c r="B55" s="13"/>
      <c r="C55" s="13"/>
      <c r="D55" s="14"/>
      <c r="E55" s="15"/>
    </row>
    <row r="56" spans="1:7" x14ac:dyDescent="0.2">
      <c r="A56" s="1"/>
      <c r="B56" s="13"/>
      <c r="C56" s="13"/>
      <c r="D56" s="14"/>
      <c r="E56" s="15"/>
    </row>
    <row r="57" spans="1:7" x14ac:dyDescent="0.2">
      <c r="A57" s="1"/>
      <c r="B57" s="13"/>
      <c r="C57" s="13"/>
      <c r="D57" s="14"/>
      <c r="E57" s="15"/>
    </row>
    <row r="58" spans="1:7" x14ac:dyDescent="0.2">
      <c r="A58" s="1"/>
      <c r="B58" s="13"/>
      <c r="C58" s="13"/>
      <c r="D58" s="14"/>
      <c r="E58" s="15"/>
    </row>
    <row r="59" spans="1:7" x14ac:dyDescent="0.2">
      <c r="A59" s="1"/>
      <c r="B59" s="13"/>
      <c r="C59" s="13"/>
      <c r="D59" s="14"/>
      <c r="E59" s="15"/>
    </row>
    <row r="60" spans="1:7" x14ac:dyDescent="0.2">
      <c r="A60" s="1"/>
      <c r="B60" s="13"/>
      <c r="C60" s="13"/>
      <c r="D60" s="14"/>
      <c r="E60" s="15"/>
    </row>
    <row r="61" spans="1:7" x14ac:dyDescent="0.2">
      <c r="A61" s="1"/>
      <c r="B61" s="13"/>
      <c r="C61" s="13"/>
      <c r="D61" s="14"/>
      <c r="E61" s="15"/>
    </row>
    <row r="62" spans="1:7" x14ac:dyDescent="0.2">
      <c r="A62" s="1"/>
      <c r="B62" s="13"/>
      <c r="C62" s="13"/>
      <c r="D62" s="14"/>
      <c r="E62" s="15"/>
    </row>
    <row r="63" spans="1:7" x14ac:dyDescent="0.2">
      <c r="A63" s="1"/>
      <c r="B63" s="13"/>
      <c r="C63" s="13"/>
      <c r="D63" s="14"/>
      <c r="E63" s="15"/>
    </row>
    <row r="64" spans="1:7" x14ac:dyDescent="0.2">
      <c r="A64" s="1"/>
      <c r="B64" s="13"/>
      <c r="C64" s="13"/>
      <c r="D64" s="14"/>
      <c r="E64" s="15"/>
    </row>
    <row r="65" spans="1:5" x14ac:dyDescent="0.2">
      <c r="A65" s="1"/>
      <c r="B65" s="13"/>
      <c r="C65" s="13"/>
      <c r="D65" s="14"/>
      <c r="E65" s="15"/>
    </row>
    <row r="66" spans="1:5" x14ac:dyDescent="0.2">
      <c r="A66" s="1"/>
      <c r="B66" s="13"/>
      <c r="C66" s="13"/>
      <c r="D66" s="14"/>
      <c r="E66" s="15"/>
    </row>
    <row r="67" spans="1:5" x14ac:dyDescent="0.2">
      <c r="A67" s="1"/>
      <c r="B67" s="13"/>
      <c r="C67" s="13"/>
      <c r="D67" s="14"/>
      <c r="E67" s="15"/>
    </row>
    <row r="68" spans="1:5" x14ac:dyDescent="0.2">
      <c r="A68" s="1"/>
      <c r="B68" s="13"/>
      <c r="C68" s="13"/>
      <c r="D68" s="14"/>
      <c r="E68" s="15"/>
    </row>
    <row r="69" spans="1:5" x14ac:dyDescent="0.2">
      <c r="A69" s="1"/>
      <c r="B69" s="13"/>
      <c r="C69" s="13"/>
      <c r="D69" s="14"/>
      <c r="E69" s="15"/>
    </row>
    <row r="70" spans="1:5" x14ac:dyDescent="0.2">
      <c r="A70" s="1"/>
      <c r="B70" s="13"/>
      <c r="C70" s="13"/>
      <c r="D70" s="14"/>
      <c r="E70" s="15"/>
    </row>
    <row r="71" spans="1:5" x14ac:dyDescent="0.2">
      <c r="A71" s="1"/>
      <c r="B71" s="13"/>
      <c r="C71" s="13"/>
      <c r="D71" s="14"/>
      <c r="E71" s="15"/>
    </row>
    <row r="72" spans="1:5" x14ac:dyDescent="0.2">
      <c r="A72" s="1"/>
      <c r="B72" s="13"/>
      <c r="C72" s="13"/>
      <c r="D72" s="14"/>
      <c r="E72" s="15"/>
    </row>
    <row r="73" spans="1:5" x14ac:dyDescent="0.2">
      <c r="A73" s="1"/>
      <c r="B73" s="13"/>
      <c r="C73" s="13"/>
      <c r="D73" s="14"/>
      <c r="E73" s="15"/>
    </row>
    <row r="74" spans="1:5" x14ac:dyDescent="0.2">
      <c r="A74" s="1"/>
      <c r="B74" s="13"/>
      <c r="C74" s="13"/>
      <c r="D74" s="14"/>
      <c r="E74" s="15"/>
    </row>
    <row r="75" spans="1:5" x14ac:dyDescent="0.2">
      <c r="A75" s="1"/>
      <c r="B75" s="13"/>
      <c r="C75" s="13"/>
      <c r="D75" s="14"/>
      <c r="E75" s="15"/>
    </row>
    <row r="76" spans="1:5" x14ac:dyDescent="0.2">
      <c r="A76" s="1"/>
      <c r="B76" s="13"/>
      <c r="C76" s="13"/>
      <c r="D76" s="14"/>
      <c r="E76" s="15"/>
    </row>
    <row r="77" spans="1:5" x14ac:dyDescent="0.2">
      <c r="A77" s="1"/>
      <c r="B77" s="13"/>
      <c r="C77" s="13"/>
      <c r="D77" s="14"/>
      <c r="E77" s="15"/>
    </row>
    <row r="78" spans="1:5" x14ac:dyDescent="0.2">
      <c r="A78" s="1"/>
      <c r="B78" s="13"/>
      <c r="C78" s="13"/>
      <c r="D78" s="14"/>
      <c r="E78" s="15"/>
    </row>
    <row r="79" spans="1:5" x14ac:dyDescent="0.2">
      <c r="A79" s="1"/>
      <c r="B79" s="13"/>
      <c r="C79" s="13"/>
      <c r="D79" s="14"/>
      <c r="E79" s="15"/>
    </row>
    <row r="80" spans="1:5" x14ac:dyDescent="0.2">
      <c r="A80" s="1"/>
      <c r="B80" s="13"/>
      <c r="C80" s="13"/>
      <c r="D80" s="14"/>
      <c r="E80" s="15"/>
    </row>
    <row r="81" spans="1:5" x14ac:dyDescent="0.2">
      <c r="A81" s="1"/>
      <c r="B81" s="13"/>
      <c r="C81" s="13"/>
      <c r="D81" s="14"/>
      <c r="E81" s="15"/>
    </row>
    <row r="82" spans="1:5" x14ac:dyDescent="0.2">
      <c r="A82" s="1"/>
      <c r="B82" s="13"/>
      <c r="C82" s="13"/>
      <c r="D82" s="14"/>
      <c r="E82" s="15"/>
    </row>
    <row r="83" spans="1:5" x14ac:dyDescent="0.2">
      <c r="A83" s="1"/>
      <c r="B83" s="13"/>
      <c r="C83" s="13"/>
      <c r="D83" s="14"/>
      <c r="E83" s="15"/>
    </row>
    <row r="84" spans="1:5" x14ac:dyDescent="0.2">
      <c r="A84" s="1"/>
      <c r="B84" s="13"/>
      <c r="C84" s="13"/>
      <c r="D84" s="14"/>
      <c r="E84" s="15"/>
    </row>
    <row r="85" spans="1:5" x14ac:dyDescent="0.2">
      <c r="A85" s="1"/>
      <c r="B85" s="13"/>
      <c r="C85" s="13"/>
      <c r="D85" s="14"/>
      <c r="E85" s="15"/>
    </row>
    <row r="86" spans="1:5" x14ac:dyDescent="0.2">
      <c r="A86" s="1"/>
      <c r="B86" s="13"/>
      <c r="C86" s="13"/>
      <c r="D86" s="14"/>
      <c r="E86" s="15"/>
    </row>
    <row r="87" spans="1:5" x14ac:dyDescent="0.2">
      <c r="A87" s="1"/>
      <c r="B87" s="13"/>
      <c r="C87" s="13"/>
      <c r="D87" s="14"/>
      <c r="E87" s="15"/>
    </row>
    <row r="88" spans="1:5" x14ac:dyDescent="0.2">
      <c r="A88" s="1"/>
      <c r="B88" s="13"/>
      <c r="C88" s="13"/>
      <c r="D88" s="14"/>
      <c r="E88" s="15"/>
    </row>
    <row r="89" spans="1:5" x14ac:dyDescent="0.2">
      <c r="A89" s="1"/>
      <c r="B89" s="13"/>
      <c r="C89" s="13"/>
      <c r="D89" s="14"/>
      <c r="E89" s="15"/>
    </row>
    <row r="90" spans="1:5" x14ac:dyDescent="0.2">
      <c r="A90" s="1"/>
      <c r="B90" s="13"/>
      <c r="C90" s="13"/>
      <c r="D90" s="14"/>
      <c r="E90" s="15"/>
    </row>
    <row r="91" spans="1:5" x14ac:dyDescent="0.2">
      <c r="A91" s="1"/>
      <c r="B91" s="13"/>
      <c r="C91" s="13"/>
      <c r="D91" s="14"/>
      <c r="E91" s="15"/>
    </row>
    <row r="92" spans="1:5" x14ac:dyDescent="0.2">
      <c r="A92" s="1"/>
      <c r="B92" s="13"/>
      <c r="C92" s="13"/>
      <c r="D92" s="14"/>
      <c r="E92" s="15"/>
    </row>
    <row r="93" spans="1:5" x14ac:dyDescent="0.2">
      <c r="A93" s="1"/>
      <c r="B93" s="13"/>
      <c r="C93" s="13"/>
      <c r="D93" s="14"/>
      <c r="E93" s="15"/>
    </row>
    <row r="94" spans="1:5" x14ac:dyDescent="0.2">
      <c r="A94" s="1"/>
      <c r="B94" s="13"/>
      <c r="C94" s="13"/>
      <c r="D94" s="14"/>
      <c r="E94" s="15"/>
    </row>
    <row r="95" spans="1:5" x14ac:dyDescent="0.2">
      <c r="A95" s="1"/>
      <c r="B95" s="13"/>
      <c r="C95" s="13"/>
      <c r="D95" s="14"/>
      <c r="E95" s="15"/>
    </row>
    <row r="96" spans="1:5" x14ac:dyDescent="0.2">
      <c r="A96" s="1"/>
      <c r="B96" s="13"/>
      <c r="C96" s="13"/>
      <c r="D96" s="14"/>
      <c r="E96" s="15"/>
    </row>
    <row r="97" spans="1:5" x14ac:dyDescent="0.2">
      <c r="A97" s="1"/>
      <c r="B97" s="13"/>
      <c r="C97" s="13"/>
      <c r="D97" s="14"/>
      <c r="E97" s="15"/>
    </row>
    <row r="98" spans="1:5" x14ac:dyDescent="0.2">
      <c r="A98" s="1"/>
      <c r="B98" s="13"/>
      <c r="C98" s="13"/>
      <c r="D98" s="14"/>
      <c r="E98" s="15"/>
    </row>
    <row r="99" spans="1:5" x14ac:dyDescent="0.2">
      <c r="A99" s="1"/>
      <c r="B99" s="13"/>
      <c r="C99" s="13"/>
      <c r="D99" s="14"/>
      <c r="E99" s="15"/>
    </row>
    <row r="100" spans="1:5" x14ac:dyDescent="0.2">
      <c r="A100" s="1"/>
      <c r="B100" s="13"/>
      <c r="C100" s="13"/>
      <c r="D100" s="14"/>
      <c r="E100" s="15"/>
    </row>
    <row r="101" spans="1:5" x14ac:dyDescent="0.2">
      <c r="A101" s="1"/>
      <c r="B101" s="13"/>
      <c r="C101" s="13"/>
      <c r="D101" s="14"/>
      <c r="E101" s="15"/>
    </row>
    <row r="102" spans="1:5" x14ac:dyDescent="0.2">
      <c r="A102" s="1"/>
      <c r="B102" s="13"/>
      <c r="C102" s="13"/>
      <c r="D102" s="14"/>
      <c r="E102" s="15"/>
    </row>
    <row r="103" spans="1:5" x14ac:dyDescent="0.2">
      <c r="A103" s="1"/>
      <c r="B103" s="13"/>
      <c r="C103" s="13"/>
      <c r="D103" s="14"/>
      <c r="E103" s="15"/>
    </row>
    <row r="104" spans="1:5" x14ac:dyDescent="0.2">
      <c r="A104" s="1"/>
      <c r="B104" s="13"/>
      <c r="C104" s="13"/>
      <c r="D104" s="14"/>
      <c r="E104" s="15"/>
    </row>
    <row r="105" spans="1:5" x14ac:dyDescent="0.2">
      <c r="A105" s="1"/>
      <c r="B105" s="13"/>
      <c r="C105" s="13"/>
      <c r="D105" s="14"/>
      <c r="E105" s="15"/>
    </row>
  </sheetData>
  <pageMargins left="0.7" right="0.7" top="0.75" bottom="0.75" header="0.3" footer="0.3"/>
  <pageSetup orientation="portrait" r:id="rId1"/>
  <headerFooter>
    <oddHeader>&amp;L&amp;"Calibri"&amp;9&amp;K000000Micron Confidential&amp;1#</oddHeader>
    <oddFooter>&amp;L&amp;1#&amp;"Calibri"&amp;9&amp;K000000Micron Confidential</oddFooter>
  </headerFooter>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C1FAC-2EFF-41C2-8C92-325257A97C9A}">
  <sheetPr codeName="Sheet1">
    <tabColor theme="9" tint="0.39997558519241921"/>
  </sheetPr>
  <dimension ref="A1:I201"/>
  <sheetViews>
    <sheetView topLeftCell="D1" zoomScale="160" zoomScaleNormal="160" workbookViewId="0">
      <selection activeCell="I5" sqref="I5"/>
    </sheetView>
  </sheetViews>
  <sheetFormatPr baseColWidth="10" defaultColWidth="8.83203125" defaultRowHeight="15" x14ac:dyDescent="0.2"/>
  <cols>
    <col min="1" max="1" width="11.6640625" bestFit="1" customWidth="1"/>
    <col min="2" max="2" width="28.1640625" customWidth="1"/>
    <col min="3" max="3" width="27.6640625" bestFit="1" customWidth="1"/>
    <col min="4" max="4" width="14.83203125" bestFit="1" customWidth="1"/>
    <col min="5" max="5" width="10.6640625" bestFit="1" customWidth="1"/>
    <col min="6" max="7" width="20.1640625" customWidth="1"/>
  </cols>
  <sheetData>
    <row r="1" spans="1:9" x14ac:dyDescent="0.2">
      <c r="A1" s="6" t="s">
        <v>298</v>
      </c>
      <c r="B1" s="6" t="s">
        <v>297</v>
      </c>
      <c r="C1" s="6" t="s">
        <v>299</v>
      </c>
      <c r="D1" s="6" t="s">
        <v>300</v>
      </c>
      <c r="E1" s="6" t="s">
        <v>301</v>
      </c>
      <c r="F1" s="6" t="s">
        <v>302</v>
      </c>
      <c r="G1" s="6" t="s">
        <v>296</v>
      </c>
    </row>
    <row r="2" spans="1:9" x14ac:dyDescent="0.2">
      <c r="A2" t="s">
        <v>252</v>
      </c>
      <c r="B2" t="s">
        <v>58</v>
      </c>
      <c r="C2">
        <v>0.4</v>
      </c>
      <c r="D2">
        <v>1</v>
      </c>
      <c r="E2">
        <v>1</v>
      </c>
      <c r="F2" s="32">
        <f>VLOOKUP(Flow[[#This Row],[WSName]], WSData[#All], 4, FALSE)*Flow[[#This Row],[LoadSize]]*FLOOR(24*7*60*VLOOKUP(Flow[[#This Row],[WSName]], WSData[#All], 3, FALSE)/Flow[[#This Row],[RPT]], 1)</f>
        <v>22176</v>
      </c>
      <c r="G2" s="32">
        <f>Flow[[#This Row],[LoadSize]]*VLOOKUP(Flow[[#This Row],[WSName]], WSData[#All], 4, FALSE)</f>
        <v>1</v>
      </c>
      <c r="I2" t="s">
        <v>295</v>
      </c>
    </row>
    <row r="3" spans="1:9" x14ac:dyDescent="0.2">
      <c r="A3" t="s">
        <v>272</v>
      </c>
      <c r="B3" t="s">
        <v>58</v>
      </c>
      <c r="C3">
        <v>0.4</v>
      </c>
      <c r="D3">
        <v>1</v>
      </c>
      <c r="E3">
        <v>1</v>
      </c>
      <c r="F3" s="32">
        <f>VLOOKUP(Flow[[#This Row],[WSName]], WSData[#All], 4, FALSE)*Flow[[#This Row],[LoadSize]]*FLOOR(24*7*60*VLOOKUP(Flow[[#This Row],[WSName]], WSData[#All], 3, FALSE)/Flow[[#This Row],[RPT]], 1)</f>
        <v>22176</v>
      </c>
      <c r="G3" s="32">
        <f>Flow[[#This Row],[LoadSize]]*VLOOKUP(Flow[[#This Row],[WSName]], WSData[#All], 4, FALSE)</f>
        <v>1</v>
      </c>
      <c r="I3" t="s">
        <v>308</v>
      </c>
    </row>
    <row r="4" spans="1:9" x14ac:dyDescent="0.2">
      <c r="A4" t="s">
        <v>86</v>
      </c>
      <c r="B4" t="s">
        <v>42</v>
      </c>
      <c r="C4">
        <v>441.4</v>
      </c>
      <c r="D4">
        <v>300</v>
      </c>
      <c r="E4">
        <v>1</v>
      </c>
      <c r="F4" s="32">
        <f>VLOOKUP(Flow[[#This Row],[WSName]], WSData[#All], 4, FALSE)*Flow[[#This Row],[LoadSize]]*FLOOR(24*7*60*VLOOKUP(Flow[[#This Row],[WSName]], WSData[#All], 3, FALSE)/Flow[[#This Row],[RPT]], 1)</f>
        <v>5400</v>
      </c>
      <c r="G4" s="32">
        <f>Flow[[#This Row],[LoadSize]]*VLOOKUP(Flow[[#This Row],[WSName]], WSData[#All], 4, FALSE)</f>
        <v>300</v>
      </c>
      <c r="I4" t="s">
        <v>309</v>
      </c>
    </row>
    <row r="5" spans="1:9" x14ac:dyDescent="0.2">
      <c r="A5" t="s">
        <v>147</v>
      </c>
      <c r="B5" t="s">
        <v>42</v>
      </c>
      <c r="C5">
        <v>316.3</v>
      </c>
      <c r="D5">
        <v>300</v>
      </c>
      <c r="E5">
        <v>1</v>
      </c>
      <c r="F5" s="32">
        <f>VLOOKUP(Flow[[#This Row],[WSName]], WSData[#All], 4, FALSE)*Flow[[#This Row],[LoadSize]]*FLOOR(24*7*60*VLOOKUP(Flow[[#This Row],[WSName]], WSData[#All], 3, FALSE)/Flow[[#This Row],[RPT]], 1)</f>
        <v>7500</v>
      </c>
      <c r="G5" s="32">
        <f>Flow[[#This Row],[LoadSize]]*VLOOKUP(Flow[[#This Row],[WSName]], WSData[#All], 4, FALSE)</f>
        <v>300</v>
      </c>
      <c r="I5" t="s">
        <v>307</v>
      </c>
    </row>
    <row r="6" spans="1:9" x14ac:dyDescent="0.2">
      <c r="A6" t="s">
        <v>261</v>
      </c>
      <c r="B6" t="s">
        <v>42</v>
      </c>
      <c r="C6">
        <v>339.9</v>
      </c>
      <c r="D6">
        <v>300</v>
      </c>
      <c r="E6">
        <v>1</v>
      </c>
      <c r="F6" s="32">
        <f>VLOOKUP(Flow[[#This Row],[WSName]], WSData[#All], 4, FALSE)*Flow[[#This Row],[LoadSize]]*FLOOR(24*7*60*VLOOKUP(Flow[[#This Row],[WSName]], WSData[#All], 3, FALSE)/Flow[[#This Row],[RPT]], 1)</f>
        <v>6900</v>
      </c>
      <c r="G6" s="32">
        <f>Flow[[#This Row],[LoadSize]]*VLOOKUP(Flow[[#This Row],[WSName]], WSData[#All], 4, FALSE)</f>
        <v>300</v>
      </c>
    </row>
    <row r="7" spans="1:9" x14ac:dyDescent="0.2">
      <c r="A7" t="s">
        <v>255</v>
      </c>
      <c r="B7" t="s">
        <v>64</v>
      </c>
      <c r="C7">
        <v>2.1</v>
      </c>
      <c r="D7">
        <v>1</v>
      </c>
      <c r="E7">
        <v>1</v>
      </c>
      <c r="F7" s="32">
        <f>VLOOKUP(Flow[[#This Row],[WSName]], WSData[#All], 4, FALSE)*Flow[[#This Row],[LoadSize]]*FLOOR(24*7*60*VLOOKUP(Flow[[#This Row],[WSName]], WSData[#All], 3, FALSE)/Flow[[#This Row],[RPT]], 1)</f>
        <v>4008</v>
      </c>
      <c r="G7" s="32">
        <f>Flow[[#This Row],[LoadSize]]*VLOOKUP(Flow[[#This Row],[WSName]], WSData[#All], 4, FALSE)</f>
        <v>1</v>
      </c>
    </row>
    <row r="8" spans="1:9" x14ac:dyDescent="0.2">
      <c r="A8" t="s">
        <v>111</v>
      </c>
      <c r="B8" t="s">
        <v>47</v>
      </c>
      <c r="C8">
        <v>5.9</v>
      </c>
      <c r="D8">
        <v>1</v>
      </c>
      <c r="E8">
        <v>3</v>
      </c>
      <c r="F8" s="32">
        <f>VLOOKUP(Flow[[#This Row],[WSName]], WSData[#All], 4, FALSE)*Flow[[#This Row],[LoadSize]]*FLOOR(24*7*60*VLOOKUP(Flow[[#This Row],[WSName]], WSData[#All], 3, FALSE)/Flow[[#This Row],[RPT]], 1)</f>
        <v>4200</v>
      </c>
      <c r="G8" s="32">
        <f>Flow[[#This Row],[LoadSize]]*VLOOKUP(Flow[[#This Row],[WSName]], WSData[#All], 4, FALSE)</f>
        <v>3</v>
      </c>
    </row>
    <row r="9" spans="1:9" x14ac:dyDescent="0.2">
      <c r="A9" t="s">
        <v>130</v>
      </c>
      <c r="B9" t="s">
        <v>70</v>
      </c>
      <c r="C9">
        <v>0.6</v>
      </c>
      <c r="D9">
        <v>1</v>
      </c>
      <c r="E9">
        <v>1</v>
      </c>
      <c r="F9" s="32">
        <f>VLOOKUP(Flow[[#This Row],[WSName]], WSData[#All], 4, FALSE)*Flow[[#This Row],[LoadSize]]*FLOOR(24*7*60*VLOOKUP(Flow[[#This Row],[WSName]], WSData[#All], 3, FALSE)/Flow[[#This Row],[RPT]], 1)</f>
        <v>14616</v>
      </c>
      <c r="G9" s="32">
        <f>Flow[[#This Row],[LoadSize]]*VLOOKUP(Flow[[#This Row],[WSName]], WSData[#All], 4, FALSE)</f>
        <v>1</v>
      </c>
    </row>
    <row r="10" spans="1:9" x14ac:dyDescent="0.2">
      <c r="A10" t="s">
        <v>135</v>
      </c>
      <c r="B10" t="s">
        <v>70</v>
      </c>
      <c r="C10">
        <v>0.5</v>
      </c>
      <c r="D10">
        <v>1</v>
      </c>
      <c r="E10">
        <v>1</v>
      </c>
      <c r="F10" s="32">
        <f>VLOOKUP(Flow[[#This Row],[WSName]], WSData[#All], 4, FALSE)*Flow[[#This Row],[LoadSize]]*FLOOR(24*7*60*VLOOKUP(Flow[[#This Row],[WSName]], WSData[#All], 3, FALSE)/Flow[[#This Row],[RPT]], 1)</f>
        <v>17539</v>
      </c>
      <c r="G10" s="32">
        <f>Flow[[#This Row],[LoadSize]]*VLOOKUP(Flow[[#This Row],[WSName]], WSData[#All], 4, FALSE)</f>
        <v>1</v>
      </c>
    </row>
    <row r="11" spans="1:9" x14ac:dyDescent="0.2">
      <c r="A11" t="s">
        <v>76</v>
      </c>
      <c r="B11" t="s">
        <v>51</v>
      </c>
      <c r="C11">
        <v>14.3</v>
      </c>
      <c r="D11">
        <v>1</v>
      </c>
      <c r="E11">
        <v>6</v>
      </c>
      <c r="F11" s="32">
        <f>VLOOKUP(Flow[[#This Row],[WSName]], WSData[#All], 4, FALSE)*Flow[[#This Row],[LoadSize]]*FLOOR(24*7*60*VLOOKUP(Flow[[#This Row],[WSName]], WSData[#All], 3, FALSE)/Flow[[#This Row],[RPT]], 1)</f>
        <v>3552</v>
      </c>
      <c r="G11" s="32">
        <f>Flow[[#This Row],[LoadSize]]*VLOOKUP(Flow[[#This Row],[WSName]], WSData[#All], 4, FALSE)</f>
        <v>6</v>
      </c>
    </row>
    <row r="12" spans="1:9" x14ac:dyDescent="0.2">
      <c r="A12" t="s">
        <v>83</v>
      </c>
      <c r="B12" t="s">
        <v>51</v>
      </c>
      <c r="C12">
        <v>11.5</v>
      </c>
      <c r="D12">
        <v>1</v>
      </c>
      <c r="E12">
        <v>6</v>
      </c>
      <c r="F12" s="32">
        <f>VLOOKUP(Flow[[#This Row],[WSName]], WSData[#All], 4, FALSE)*Flow[[#This Row],[LoadSize]]*FLOOR(24*7*60*VLOOKUP(Flow[[#This Row],[WSName]], WSData[#All], 3, FALSE)/Flow[[#This Row],[RPT]], 1)</f>
        <v>4416</v>
      </c>
      <c r="G12" s="32">
        <f>Flow[[#This Row],[LoadSize]]*VLOOKUP(Flow[[#This Row],[WSName]], WSData[#All], 4, FALSE)</f>
        <v>6</v>
      </c>
    </row>
    <row r="13" spans="1:9" x14ac:dyDescent="0.2">
      <c r="A13" t="s">
        <v>162</v>
      </c>
      <c r="B13" t="s">
        <v>51</v>
      </c>
      <c r="C13">
        <v>6.6</v>
      </c>
      <c r="D13">
        <v>1</v>
      </c>
      <c r="E13">
        <v>6</v>
      </c>
      <c r="F13" s="32">
        <f>VLOOKUP(Flow[[#This Row],[WSName]], WSData[#All], 4, FALSE)*Flow[[#This Row],[LoadSize]]*FLOOR(24*7*60*VLOOKUP(Flow[[#This Row],[WSName]], WSData[#All], 3, FALSE)/Flow[[#This Row],[RPT]], 1)</f>
        <v>7692</v>
      </c>
      <c r="G13" s="32">
        <f>Flow[[#This Row],[LoadSize]]*VLOOKUP(Flow[[#This Row],[WSName]], WSData[#All], 4, FALSE)</f>
        <v>6</v>
      </c>
    </row>
    <row r="14" spans="1:9" x14ac:dyDescent="0.2">
      <c r="A14" t="s">
        <v>186</v>
      </c>
      <c r="B14" t="s">
        <v>51</v>
      </c>
      <c r="C14">
        <v>5.7</v>
      </c>
      <c r="D14">
        <v>1</v>
      </c>
      <c r="E14">
        <v>6</v>
      </c>
      <c r="F14" s="32">
        <f>VLOOKUP(Flow[[#This Row],[WSName]], WSData[#All], 4, FALSE)*Flow[[#This Row],[LoadSize]]*FLOOR(24*7*60*VLOOKUP(Flow[[#This Row],[WSName]], WSData[#All], 3, FALSE)/Flow[[#This Row],[RPT]], 1)</f>
        <v>8910</v>
      </c>
      <c r="G14" s="32">
        <f>Flow[[#This Row],[LoadSize]]*VLOOKUP(Flow[[#This Row],[WSName]], WSData[#All], 4, FALSE)</f>
        <v>6</v>
      </c>
    </row>
    <row r="15" spans="1:9" x14ac:dyDescent="0.2">
      <c r="A15" t="s">
        <v>217</v>
      </c>
      <c r="B15" t="s">
        <v>51</v>
      </c>
      <c r="C15">
        <v>8.8000000000000007</v>
      </c>
      <c r="D15">
        <v>1</v>
      </c>
      <c r="E15">
        <v>6</v>
      </c>
      <c r="F15" s="32">
        <f>VLOOKUP(Flow[[#This Row],[WSName]], WSData[#All], 4, FALSE)*Flow[[#This Row],[LoadSize]]*FLOOR(24*7*60*VLOOKUP(Flow[[#This Row],[WSName]], WSData[#All], 3, FALSE)/Flow[[#This Row],[RPT]], 1)</f>
        <v>5772</v>
      </c>
      <c r="G15" s="32">
        <f>Flow[[#This Row],[LoadSize]]*VLOOKUP(Flow[[#This Row],[WSName]], WSData[#All], 4, FALSE)</f>
        <v>6</v>
      </c>
    </row>
    <row r="16" spans="1:9" x14ac:dyDescent="0.2">
      <c r="A16" t="s">
        <v>230</v>
      </c>
      <c r="B16" t="s">
        <v>51</v>
      </c>
      <c r="C16">
        <v>6.8</v>
      </c>
      <c r="D16">
        <v>1</v>
      </c>
      <c r="E16">
        <v>6</v>
      </c>
      <c r="F16" s="32">
        <f>VLOOKUP(Flow[[#This Row],[WSName]], WSData[#All], 4, FALSE)*Flow[[#This Row],[LoadSize]]*FLOOR(24*7*60*VLOOKUP(Flow[[#This Row],[WSName]], WSData[#All], 3, FALSE)/Flow[[#This Row],[RPT]], 1)</f>
        <v>7470</v>
      </c>
      <c r="G16" s="32">
        <f>Flow[[#This Row],[LoadSize]]*VLOOKUP(Flow[[#This Row],[WSName]], WSData[#All], 4, FALSE)</f>
        <v>6</v>
      </c>
    </row>
    <row r="17" spans="1:7" x14ac:dyDescent="0.2">
      <c r="A17" t="s">
        <v>100</v>
      </c>
      <c r="B17" t="s">
        <v>56</v>
      </c>
      <c r="C17">
        <v>1</v>
      </c>
      <c r="D17">
        <v>1</v>
      </c>
      <c r="E17">
        <v>1</v>
      </c>
      <c r="F17" s="32">
        <f>VLOOKUP(Flow[[#This Row],[WSName]], WSData[#All], 4, FALSE)*Flow[[#This Row],[LoadSize]]*FLOOR(24*7*60*VLOOKUP(Flow[[#This Row],[WSName]], WSData[#All], 3, FALSE)/Flow[[#This Row],[RPT]], 1)</f>
        <v>7963</v>
      </c>
      <c r="G17" s="32">
        <f>Flow[[#This Row],[LoadSize]]*VLOOKUP(Flow[[#This Row],[WSName]], WSData[#All], 4, FALSE)</f>
        <v>1</v>
      </c>
    </row>
    <row r="18" spans="1:7" x14ac:dyDescent="0.2">
      <c r="A18" t="s">
        <v>181</v>
      </c>
      <c r="B18" t="s">
        <v>56</v>
      </c>
      <c r="C18">
        <v>1.7</v>
      </c>
      <c r="D18">
        <v>1</v>
      </c>
      <c r="E18">
        <v>1</v>
      </c>
      <c r="F18" s="32">
        <f>VLOOKUP(Flow[[#This Row],[WSName]], WSData[#All], 4, FALSE)*Flow[[#This Row],[LoadSize]]*FLOOR(24*7*60*VLOOKUP(Flow[[#This Row],[WSName]], WSData[#All], 3, FALSE)/Flow[[#This Row],[RPT]], 1)</f>
        <v>4684</v>
      </c>
      <c r="G18" s="32">
        <f>Flow[[#This Row],[LoadSize]]*VLOOKUP(Flow[[#This Row],[WSName]], WSData[#All], 4, FALSE)</f>
        <v>1</v>
      </c>
    </row>
    <row r="19" spans="1:7" x14ac:dyDescent="0.2">
      <c r="A19" t="s">
        <v>265</v>
      </c>
      <c r="B19" t="s">
        <v>56</v>
      </c>
      <c r="C19">
        <v>1.6</v>
      </c>
      <c r="D19">
        <v>1</v>
      </c>
      <c r="E19">
        <v>1</v>
      </c>
      <c r="F19" s="32">
        <f>VLOOKUP(Flow[[#This Row],[WSName]], WSData[#All], 4, FALSE)*Flow[[#This Row],[LoadSize]]*FLOOR(24*7*60*VLOOKUP(Flow[[#This Row],[WSName]], WSData[#All], 3, FALSE)/Flow[[#This Row],[RPT]], 1)</f>
        <v>4977</v>
      </c>
      <c r="G19" s="32">
        <f>Flow[[#This Row],[LoadSize]]*VLOOKUP(Flow[[#This Row],[WSName]], WSData[#All], 4, FALSE)</f>
        <v>1</v>
      </c>
    </row>
    <row r="20" spans="1:7" x14ac:dyDescent="0.2">
      <c r="A20" t="s">
        <v>163</v>
      </c>
      <c r="B20" t="s">
        <v>63</v>
      </c>
      <c r="C20">
        <v>1.2</v>
      </c>
      <c r="D20">
        <v>1</v>
      </c>
      <c r="E20">
        <v>1</v>
      </c>
      <c r="F20" s="32">
        <f>VLOOKUP(Flow[[#This Row],[WSName]], WSData[#All], 4, FALSE)*Flow[[#This Row],[LoadSize]]*FLOOR(24*7*60*VLOOKUP(Flow[[#This Row],[WSName]], WSData[#All], 3, FALSE)/Flow[[#This Row],[RPT]], 1)</f>
        <v>6888</v>
      </c>
      <c r="G20" s="32">
        <f>Flow[[#This Row],[LoadSize]]*VLOOKUP(Flow[[#This Row],[WSName]], WSData[#All], 4, FALSE)</f>
        <v>1</v>
      </c>
    </row>
    <row r="21" spans="1:7" x14ac:dyDescent="0.2">
      <c r="A21" t="s">
        <v>89</v>
      </c>
      <c r="B21" t="s">
        <v>68</v>
      </c>
      <c r="C21">
        <v>11.1</v>
      </c>
      <c r="D21">
        <v>100</v>
      </c>
      <c r="E21">
        <v>1</v>
      </c>
      <c r="F21" s="32">
        <f>VLOOKUP(Flow[[#This Row],[WSName]], WSData[#All], 4, FALSE)*Flow[[#This Row],[LoadSize]]*FLOOR(24*7*60*VLOOKUP(Flow[[#This Row],[WSName]], WSData[#All], 3, FALSE)/Flow[[#This Row],[RPT]], 1)</f>
        <v>68500</v>
      </c>
      <c r="G21" s="32">
        <f>Flow[[#This Row],[LoadSize]]*VLOOKUP(Flow[[#This Row],[WSName]], WSData[#All], 4, FALSE)</f>
        <v>100</v>
      </c>
    </row>
    <row r="22" spans="1:7" x14ac:dyDescent="0.2">
      <c r="A22" t="s">
        <v>93</v>
      </c>
      <c r="B22" t="s">
        <v>68</v>
      </c>
      <c r="C22">
        <v>28.2</v>
      </c>
      <c r="D22">
        <v>100</v>
      </c>
      <c r="E22">
        <v>1</v>
      </c>
      <c r="F22" s="32">
        <f>VLOOKUP(Flow[[#This Row],[WSName]], WSData[#All], 4, FALSE)*Flow[[#This Row],[LoadSize]]*FLOOR(24*7*60*VLOOKUP(Flow[[#This Row],[WSName]], WSData[#All], 3, FALSE)/Flow[[#This Row],[RPT]], 1)</f>
        <v>26900</v>
      </c>
      <c r="G22" s="32">
        <f>Flow[[#This Row],[LoadSize]]*VLOOKUP(Flow[[#This Row],[WSName]], WSData[#All], 4, FALSE)</f>
        <v>100</v>
      </c>
    </row>
    <row r="23" spans="1:7" x14ac:dyDescent="0.2">
      <c r="A23" t="s">
        <v>102</v>
      </c>
      <c r="B23" t="s">
        <v>68</v>
      </c>
      <c r="C23">
        <v>12.2</v>
      </c>
      <c r="D23">
        <v>100</v>
      </c>
      <c r="E23">
        <v>1</v>
      </c>
      <c r="F23" s="32">
        <f>VLOOKUP(Flow[[#This Row],[WSName]], WSData[#All], 4, FALSE)*Flow[[#This Row],[LoadSize]]*FLOOR(24*7*60*VLOOKUP(Flow[[#This Row],[WSName]], WSData[#All], 3, FALSE)/Flow[[#This Row],[RPT]], 1)</f>
        <v>62300</v>
      </c>
      <c r="G23" s="32">
        <f>Flow[[#This Row],[LoadSize]]*VLOOKUP(Flow[[#This Row],[WSName]], WSData[#All], 4, FALSE)</f>
        <v>100</v>
      </c>
    </row>
    <row r="24" spans="1:7" x14ac:dyDescent="0.2">
      <c r="A24" t="s">
        <v>103</v>
      </c>
      <c r="B24" t="s">
        <v>68</v>
      </c>
      <c r="C24">
        <v>29.3</v>
      </c>
      <c r="D24">
        <v>100</v>
      </c>
      <c r="E24">
        <v>1</v>
      </c>
      <c r="F24" s="32">
        <f>VLOOKUP(Flow[[#This Row],[WSName]], WSData[#All], 4, FALSE)*Flow[[#This Row],[LoadSize]]*FLOOR(24*7*60*VLOOKUP(Flow[[#This Row],[WSName]], WSData[#All], 3, FALSE)/Flow[[#This Row],[RPT]], 1)</f>
        <v>25900</v>
      </c>
      <c r="G24" s="32">
        <f>Flow[[#This Row],[LoadSize]]*VLOOKUP(Flow[[#This Row],[WSName]], WSData[#All], 4, FALSE)</f>
        <v>100</v>
      </c>
    </row>
    <row r="25" spans="1:7" x14ac:dyDescent="0.2">
      <c r="A25" t="s">
        <v>108</v>
      </c>
      <c r="B25" t="s">
        <v>68</v>
      </c>
      <c r="C25">
        <v>10.3</v>
      </c>
      <c r="D25">
        <v>100</v>
      </c>
      <c r="E25">
        <v>1</v>
      </c>
      <c r="F25" s="32">
        <f>VLOOKUP(Flow[[#This Row],[WSName]], WSData[#All], 4, FALSE)*Flow[[#This Row],[LoadSize]]*FLOOR(24*7*60*VLOOKUP(Flow[[#This Row],[WSName]], WSData[#All], 3, FALSE)/Flow[[#This Row],[RPT]], 1)</f>
        <v>73800</v>
      </c>
      <c r="G25" s="32">
        <f>Flow[[#This Row],[LoadSize]]*VLOOKUP(Flow[[#This Row],[WSName]], WSData[#All], 4, FALSE)</f>
        <v>100</v>
      </c>
    </row>
    <row r="26" spans="1:7" x14ac:dyDescent="0.2">
      <c r="A26" t="s">
        <v>119</v>
      </c>
      <c r="B26" t="s">
        <v>68</v>
      </c>
      <c r="C26">
        <v>16</v>
      </c>
      <c r="D26">
        <v>100</v>
      </c>
      <c r="E26">
        <v>1</v>
      </c>
      <c r="F26" s="32">
        <f>VLOOKUP(Flow[[#This Row],[WSName]], WSData[#All], 4, FALSE)*Flow[[#This Row],[LoadSize]]*FLOOR(24*7*60*VLOOKUP(Flow[[#This Row],[WSName]], WSData[#All], 3, FALSE)/Flow[[#This Row],[RPT]], 1)</f>
        <v>47500</v>
      </c>
      <c r="G26" s="32">
        <f>Flow[[#This Row],[LoadSize]]*VLOOKUP(Flow[[#This Row],[WSName]], WSData[#All], 4, FALSE)</f>
        <v>100</v>
      </c>
    </row>
    <row r="27" spans="1:7" x14ac:dyDescent="0.2">
      <c r="A27" t="s">
        <v>126</v>
      </c>
      <c r="B27" t="s">
        <v>68</v>
      </c>
      <c r="C27">
        <v>9.1999999999999993</v>
      </c>
      <c r="D27">
        <v>100</v>
      </c>
      <c r="E27">
        <v>1</v>
      </c>
      <c r="F27" s="32">
        <f>VLOOKUP(Flow[[#This Row],[WSName]], WSData[#All], 4, FALSE)*Flow[[#This Row],[LoadSize]]*FLOOR(24*7*60*VLOOKUP(Flow[[#This Row],[WSName]], WSData[#All], 3, FALSE)/Flow[[#This Row],[RPT]], 1)</f>
        <v>82700</v>
      </c>
      <c r="G27" s="32">
        <f>Flow[[#This Row],[LoadSize]]*VLOOKUP(Flow[[#This Row],[WSName]], WSData[#All], 4, FALSE)</f>
        <v>100</v>
      </c>
    </row>
    <row r="28" spans="1:7" x14ac:dyDescent="0.2">
      <c r="A28" t="s">
        <v>132</v>
      </c>
      <c r="B28" t="s">
        <v>68</v>
      </c>
      <c r="C28">
        <v>9.1</v>
      </c>
      <c r="D28">
        <v>100</v>
      </c>
      <c r="E28">
        <v>1</v>
      </c>
      <c r="F28" s="32">
        <f>VLOOKUP(Flow[[#This Row],[WSName]], WSData[#All], 4, FALSE)*Flow[[#This Row],[LoadSize]]*FLOOR(24*7*60*VLOOKUP(Flow[[#This Row],[WSName]], WSData[#All], 3, FALSE)/Flow[[#This Row],[RPT]], 1)</f>
        <v>83600</v>
      </c>
      <c r="G28" s="32">
        <f>Flow[[#This Row],[LoadSize]]*VLOOKUP(Flow[[#This Row],[WSName]], WSData[#All], 4, FALSE)</f>
        <v>100</v>
      </c>
    </row>
    <row r="29" spans="1:7" x14ac:dyDescent="0.2">
      <c r="A29" t="s">
        <v>139</v>
      </c>
      <c r="B29" t="s">
        <v>68</v>
      </c>
      <c r="C29">
        <v>19.2</v>
      </c>
      <c r="D29">
        <v>100</v>
      </c>
      <c r="E29">
        <v>1</v>
      </c>
      <c r="F29" s="32">
        <f>VLOOKUP(Flow[[#This Row],[WSName]], WSData[#All], 4, FALSE)*Flow[[#This Row],[LoadSize]]*FLOOR(24*7*60*VLOOKUP(Flow[[#This Row],[WSName]], WSData[#All], 3, FALSE)/Flow[[#This Row],[RPT]], 1)</f>
        <v>39600</v>
      </c>
      <c r="G29" s="32">
        <f>Flow[[#This Row],[LoadSize]]*VLOOKUP(Flow[[#This Row],[WSName]], WSData[#All], 4, FALSE)</f>
        <v>100</v>
      </c>
    </row>
    <row r="30" spans="1:7" x14ac:dyDescent="0.2">
      <c r="A30" t="s">
        <v>184</v>
      </c>
      <c r="B30" t="s">
        <v>68</v>
      </c>
      <c r="C30">
        <v>15.7</v>
      </c>
      <c r="D30">
        <v>100</v>
      </c>
      <c r="E30">
        <v>1</v>
      </c>
      <c r="F30" s="32">
        <f>VLOOKUP(Flow[[#This Row],[WSName]], WSData[#All], 4, FALSE)*Flow[[#This Row],[LoadSize]]*FLOOR(24*7*60*VLOOKUP(Flow[[#This Row],[WSName]], WSData[#All], 3, FALSE)/Flow[[#This Row],[RPT]], 1)</f>
        <v>48400</v>
      </c>
      <c r="G30" s="32">
        <f>Flow[[#This Row],[LoadSize]]*VLOOKUP(Flow[[#This Row],[WSName]], WSData[#All], 4, FALSE)</f>
        <v>100</v>
      </c>
    </row>
    <row r="31" spans="1:7" x14ac:dyDescent="0.2">
      <c r="A31" t="s">
        <v>212</v>
      </c>
      <c r="B31" t="s">
        <v>68</v>
      </c>
      <c r="C31">
        <v>20.8</v>
      </c>
      <c r="D31">
        <v>100</v>
      </c>
      <c r="E31">
        <v>1</v>
      </c>
      <c r="F31" s="32">
        <f>VLOOKUP(Flow[[#This Row],[WSName]], WSData[#All], 4, FALSE)*Flow[[#This Row],[LoadSize]]*FLOOR(24*7*60*VLOOKUP(Flow[[#This Row],[WSName]], WSData[#All], 3, FALSE)/Flow[[#This Row],[RPT]], 1)</f>
        <v>36500</v>
      </c>
      <c r="G31" s="32">
        <f>Flow[[#This Row],[LoadSize]]*VLOOKUP(Flow[[#This Row],[WSName]], WSData[#All], 4, FALSE)</f>
        <v>100</v>
      </c>
    </row>
    <row r="32" spans="1:7" x14ac:dyDescent="0.2">
      <c r="A32" t="s">
        <v>215</v>
      </c>
      <c r="B32" t="s">
        <v>68</v>
      </c>
      <c r="C32">
        <v>18.600000000000001</v>
      </c>
      <c r="D32">
        <v>100</v>
      </c>
      <c r="E32">
        <v>1</v>
      </c>
      <c r="F32" s="32">
        <f>VLOOKUP(Flow[[#This Row],[WSName]], WSData[#All], 4, FALSE)*Flow[[#This Row],[LoadSize]]*FLOOR(24*7*60*VLOOKUP(Flow[[#This Row],[WSName]], WSData[#All], 3, FALSE)/Flow[[#This Row],[RPT]], 1)</f>
        <v>40900</v>
      </c>
      <c r="G32" s="32">
        <f>Flow[[#This Row],[LoadSize]]*VLOOKUP(Flow[[#This Row],[WSName]], WSData[#All], 4, FALSE)</f>
        <v>100</v>
      </c>
    </row>
    <row r="33" spans="1:7" x14ac:dyDescent="0.2">
      <c r="A33" t="s">
        <v>223</v>
      </c>
      <c r="B33" t="s">
        <v>68</v>
      </c>
      <c r="C33">
        <v>14.2</v>
      </c>
      <c r="D33">
        <v>100</v>
      </c>
      <c r="E33">
        <v>1</v>
      </c>
      <c r="F33" s="32">
        <f>VLOOKUP(Flow[[#This Row],[WSName]], WSData[#All], 4, FALSE)*Flow[[#This Row],[LoadSize]]*FLOOR(24*7*60*VLOOKUP(Flow[[#This Row],[WSName]], WSData[#All], 3, FALSE)/Flow[[#This Row],[RPT]], 1)</f>
        <v>53500</v>
      </c>
      <c r="G33" s="32">
        <f>Flow[[#This Row],[LoadSize]]*VLOOKUP(Flow[[#This Row],[WSName]], WSData[#All], 4, FALSE)</f>
        <v>100</v>
      </c>
    </row>
    <row r="34" spans="1:7" x14ac:dyDescent="0.2">
      <c r="A34" t="s">
        <v>238</v>
      </c>
      <c r="B34" t="s">
        <v>68</v>
      </c>
      <c r="C34">
        <v>12.5</v>
      </c>
      <c r="D34">
        <v>100</v>
      </c>
      <c r="E34">
        <v>1</v>
      </c>
      <c r="F34" s="32">
        <f>VLOOKUP(Flow[[#This Row],[WSName]], WSData[#All], 4, FALSE)*Flow[[#This Row],[LoadSize]]*FLOOR(24*7*60*VLOOKUP(Flow[[#This Row],[WSName]], WSData[#All], 3, FALSE)/Flow[[#This Row],[RPT]], 1)</f>
        <v>60800</v>
      </c>
      <c r="G34" s="32">
        <f>Flow[[#This Row],[LoadSize]]*VLOOKUP(Flow[[#This Row],[WSName]], WSData[#All], 4, FALSE)</f>
        <v>100</v>
      </c>
    </row>
    <row r="35" spans="1:7" x14ac:dyDescent="0.2">
      <c r="A35" t="s">
        <v>241</v>
      </c>
      <c r="B35" t="s">
        <v>68</v>
      </c>
      <c r="C35">
        <v>13.2</v>
      </c>
      <c r="D35">
        <v>100</v>
      </c>
      <c r="E35">
        <v>1</v>
      </c>
      <c r="F35" s="32">
        <f>VLOOKUP(Flow[[#This Row],[WSName]], WSData[#All], 4, FALSE)*Flow[[#This Row],[LoadSize]]*FLOOR(24*7*60*VLOOKUP(Flow[[#This Row],[WSName]], WSData[#All], 3, FALSE)/Flow[[#This Row],[RPT]], 1)</f>
        <v>57600</v>
      </c>
      <c r="G35" s="32">
        <f>Flow[[#This Row],[LoadSize]]*VLOOKUP(Flow[[#This Row],[WSName]], WSData[#All], 4, FALSE)</f>
        <v>100</v>
      </c>
    </row>
    <row r="36" spans="1:7" x14ac:dyDescent="0.2">
      <c r="A36" t="s">
        <v>244</v>
      </c>
      <c r="B36" t="s">
        <v>68</v>
      </c>
      <c r="C36">
        <v>32.1</v>
      </c>
      <c r="D36">
        <v>100</v>
      </c>
      <c r="E36">
        <v>1</v>
      </c>
      <c r="F36" s="32">
        <f>VLOOKUP(Flow[[#This Row],[WSName]], WSData[#All], 4, FALSE)*Flow[[#This Row],[LoadSize]]*FLOOR(24*7*60*VLOOKUP(Flow[[#This Row],[WSName]], WSData[#All], 3, FALSE)/Flow[[#This Row],[RPT]], 1)</f>
        <v>23700</v>
      </c>
      <c r="G36" s="32">
        <f>Flow[[#This Row],[LoadSize]]*VLOOKUP(Flow[[#This Row],[WSName]], WSData[#All], 4, FALSE)</f>
        <v>100</v>
      </c>
    </row>
    <row r="37" spans="1:7" x14ac:dyDescent="0.2">
      <c r="A37" t="s">
        <v>99</v>
      </c>
      <c r="B37" t="s">
        <v>32</v>
      </c>
      <c r="C37">
        <v>2.2999999999999998</v>
      </c>
      <c r="D37">
        <v>1</v>
      </c>
      <c r="E37">
        <v>2</v>
      </c>
      <c r="F37" s="32">
        <f>VLOOKUP(Flow[[#This Row],[WSName]], WSData[#All], 4, FALSE)*Flow[[#This Row],[LoadSize]]*FLOOR(24*7*60*VLOOKUP(Flow[[#This Row],[WSName]], WSData[#All], 3, FALSE)/Flow[[#This Row],[RPT]], 1)</f>
        <v>7012</v>
      </c>
      <c r="G37" s="32">
        <f>Flow[[#This Row],[LoadSize]]*VLOOKUP(Flow[[#This Row],[WSName]], WSData[#All], 4, FALSE)</f>
        <v>2</v>
      </c>
    </row>
    <row r="38" spans="1:7" x14ac:dyDescent="0.2">
      <c r="A38" t="s">
        <v>172</v>
      </c>
      <c r="B38" t="s">
        <v>32</v>
      </c>
      <c r="C38">
        <v>2</v>
      </c>
      <c r="D38">
        <v>1</v>
      </c>
      <c r="E38">
        <v>2</v>
      </c>
      <c r="F38" s="32">
        <f>VLOOKUP(Flow[[#This Row],[WSName]], WSData[#All], 4, FALSE)*Flow[[#This Row],[LoadSize]]*FLOOR(24*7*60*VLOOKUP(Flow[[#This Row],[WSName]], WSData[#All], 3, FALSE)/Flow[[#This Row],[RPT]], 1)</f>
        <v>8064</v>
      </c>
      <c r="G38" s="32">
        <f>Flow[[#This Row],[LoadSize]]*VLOOKUP(Flow[[#This Row],[WSName]], WSData[#All], 4, FALSE)</f>
        <v>2</v>
      </c>
    </row>
    <row r="39" spans="1:7" x14ac:dyDescent="0.2">
      <c r="A39" t="s">
        <v>268</v>
      </c>
      <c r="B39" t="s">
        <v>32</v>
      </c>
      <c r="C39">
        <v>2.2999999999999998</v>
      </c>
      <c r="D39">
        <v>1</v>
      </c>
      <c r="E39">
        <v>2</v>
      </c>
      <c r="F39" s="32">
        <f>VLOOKUP(Flow[[#This Row],[WSName]], WSData[#All], 4, FALSE)*Flow[[#This Row],[LoadSize]]*FLOOR(24*7*60*VLOOKUP(Flow[[#This Row],[WSName]], WSData[#All], 3, FALSE)/Flow[[#This Row],[RPT]], 1)</f>
        <v>7012</v>
      </c>
      <c r="G39" s="32">
        <f>Flow[[#This Row],[LoadSize]]*VLOOKUP(Flow[[#This Row],[WSName]], WSData[#All], 4, FALSE)</f>
        <v>2</v>
      </c>
    </row>
    <row r="40" spans="1:7" x14ac:dyDescent="0.2">
      <c r="A40" t="s">
        <v>211</v>
      </c>
      <c r="B40" t="s">
        <v>40</v>
      </c>
      <c r="C40">
        <v>241.3</v>
      </c>
      <c r="D40">
        <v>250</v>
      </c>
      <c r="E40">
        <v>1</v>
      </c>
      <c r="F40" s="32">
        <f>VLOOKUP(Flow[[#This Row],[WSName]], WSData[#All], 4, FALSE)*Flow[[#This Row],[LoadSize]]*FLOOR(24*7*60*VLOOKUP(Flow[[#This Row],[WSName]], WSData[#All], 3, FALSE)/Flow[[#This Row],[RPT]], 1)</f>
        <v>8000</v>
      </c>
      <c r="G40" s="32">
        <f>Flow[[#This Row],[LoadSize]]*VLOOKUP(Flow[[#This Row],[WSName]], WSData[#All], 4, FALSE)</f>
        <v>250</v>
      </c>
    </row>
    <row r="41" spans="1:7" x14ac:dyDescent="0.2">
      <c r="A41" t="s">
        <v>227</v>
      </c>
      <c r="B41" t="s">
        <v>40</v>
      </c>
      <c r="C41">
        <v>308.89999999999998</v>
      </c>
      <c r="D41">
        <v>250</v>
      </c>
      <c r="E41">
        <v>1</v>
      </c>
      <c r="F41" s="32">
        <f>VLOOKUP(Flow[[#This Row],[WSName]], WSData[#All], 4, FALSE)*Flow[[#This Row],[LoadSize]]*FLOOR(24*7*60*VLOOKUP(Flow[[#This Row],[WSName]], WSData[#All], 3, FALSE)/Flow[[#This Row],[RPT]], 1)</f>
        <v>6250</v>
      </c>
      <c r="G41" s="32">
        <f>Flow[[#This Row],[LoadSize]]*VLOOKUP(Flow[[#This Row],[WSName]], WSData[#All], 4, FALSE)</f>
        <v>250</v>
      </c>
    </row>
    <row r="42" spans="1:7" x14ac:dyDescent="0.2">
      <c r="A42" t="s">
        <v>109</v>
      </c>
      <c r="B42" t="s">
        <v>45</v>
      </c>
      <c r="C42">
        <v>3.8</v>
      </c>
      <c r="D42">
        <v>1</v>
      </c>
      <c r="E42">
        <v>2</v>
      </c>
      <c r="F42" s="32">
        <f>VLOOKUP(Flow[[#This Row],[WSName]], WSData[#All], 4, FALSE)*Flow[[#This Row],[LoadSize]]*FLOOR(24*7*60*VLOOKUP(Flow[[#This Row],[WSName]], WSData[#All], 3, FALSE)/Flow[[#This Row],[RPT]], 1)</f>
        <v>4668</v>
      </c>
      <c r="G42" s="32">
        <f>Flow[[#This Row],[LoadSize]]*VLOOKUP(Flow[[#This Row],[WSName]], WSData[#All], 4, FALSE)</f>
        <v>2</v>
      </c>
    </row>
    <row r="43" spans="1:7" x14ac:dyDescent="0.2">
      <c r="A43" t="s">
        <v>123</v>
      </c>
      <c r="B43" t="s">
        <v>45</v>
      </c>
      <c r="C43">
        <v>3.4</v>
      </c>
      <c r="D43">
        <v>1</v>
      </c>
      <c r="E43">
        <v>2</v>
      </c>
      <c r="F43" s="32">
        <f>VLOOKUP(Flow[[#This Row],[WSName]], WSData[#All], 4, FALSE)*Flow[[#This Row],[LoadSize]]*FLOOR(24*7*60*VLOOKUP(Flow[[#This Row],[WSName]], WSData[#All], 3, FALSE)/Flow[[#This Row],[RPT]], 1)</f>
        <v>5216</v>
      </c>
      <c r="G43" s="32">
        <f>Flow[[#This Row],[LoadSize]]*VLOOKUP(Flow[[#This Row],[WSName]], WSData[#All], 4, FALSE)</f>
        <v>2</v>
      </c>
    </row>
    <row r="44" spans="1:7" x14ac:dyDescent="0.2">
      <c r="A44" t="s">
        <v>166</v>
      </c>
      <c r="B44" t="s">
        <v>45</v>
      </c>
      <c r="C44">
        <v>5.3</v>
      </c>
      <c r="D44">
        <v>1</v>
      </c>
      <c r="E44">
        <v>2</v>
      </c>
      <c r="F44" s="32">
        <f>VLOOKUP(Flow[[#This Row],[WSName]], WSData[#All], 4, FALSE)*Flow[[#This Row],[LoadSize]]*FLOOR(24*7*60*VLOOKUP(Flow[[#This Row],[WSName]], WSData[#All], 3, FALSE)/Flow[[#This Row],[RPT]], 1)</f>
        <v>3346</v>
      </c>
      <c r="G44" s="32">
        <f>Flow[[#This Row],[LoadSize]]*VLOOKUP(Flow[[#This Row],[WSName]], WSData[#All], 4, FALSE)</f>
        <v>2</v>
      </c>
    </row>
    <row r="45" spans="1:7" x14ac:dyDescent="0.2">
      <c r="A45" t="s">
        <v>205</v>
      </c>
      <c r="B45" t="s">
        <v>45</v>
      </c>
      <c r="C45">
        <v>4.5</v>
      </c>
      <c r="D45">
        <v>1</v>
      </c>
      <c r="E45">
        <v>2</v>
      </c>
      <c r="F45" s="32">
        <f>VLOOKUP(Flow[[#This Row],[WSName]], WSData[#All], 4, FALSE)*Flow[[#This Row],[LoadSize]]*FLOOR(24*7*60*VLOOKUP(Flow[[#This Row],[WSName]], WSData[#All], 3, FALSE)/Flow[[#This Row],[RPT]], 1)</f>
        <v>3942</v>
      </c>
      <c r="G45" s="32">
        <f>Flow[[#This Row],[LoadSize]]*VLOOKUP(Flow[[#This Row],[WSName]], WSData[#All], 4, FALSE)</f>
        <v>2</v>
      </c>
    </row>
    <row r="46" spans="1:7" x14ac:dyDescent="0.2">
      <c r="A46" t="s">
        <v>131</v>
      </c>
      <c r="B46" t="s">
        <v>44</v>
      </c>
      <c r="C46">
        <v>623.5</v>
      </c>
      <c r="D46">
        <v>200</v>
      </c>
      <c r="E46">
        <v>1</v>
      </c>
      <c r="F46" s="32">
        <f>VLOOKUP(Flow[[#This Row],[WSName]], WSData[#All], 4, FALSE)*Flow[[#This Row],[LoadSize]]*FLOOR(24*7*60*VLOOKUP(Flow[[#This Row],[WSName]], WSData[#All], 3, FALSE)/Flow[[#This Row],[RPT]], 1)</f>
        <v>2200</v>
      </c>
      <c r="G46" s="32">
        <f>Flow[[#This Row],[LoadSize]]*VLOOKUP(Flow[[#This Row],[WSName]], WSData[#All], 4, FALSE)</f>
        <v>200</v>
      </c>
    </row>
    <row r="47" spans="1:7" x14ac:dyDescent="0.2">
      <c r="A47" t="s">
        <v>140</v>
      </c>
      <c r="B47" t="s">
        <v>44</v>
      </c>
      <c r="C47">
        <v>180.5</v>
      </c>
      <c r="D47">
        <v>200</v>
      </c>
      <c r="E47">
        <v>1</v>
      </c>
      <c r="F47" s="32">
        <f>VLOOKUP(Flow[[#This Row],[WSName]], WSData[#All], 4, FALSE)*Flow[[#This Row],[LoadSize]]*FLOOR(24*7*60*VLOOKUP(Flow[[#This Row],[WSName]], WSData[#All], 3, FALSE)/Flow[[#This Row],[RPT]], 1)</f>
        <v>8000</v>
      </c>
      <c r="G47" s="32">
        <f>Flow[[#This Row],[LoadSize]]*VLOOKUP(Flow[[#This Row],[WSName]], WSData[#All], 4, FALSE)</f>
        <v>200</v>
      </c>
    </row>
    <row r="48" spans="1:7" x14ac:dyDescent="0.2">
      <c r="A48" t="s">
        <v>78</v>
      </c>
      <c r="B48" t="s">
        <v>43</v>
      </c>
      <c r="C48">
        <v>457.1</v>
      </c>
      <c r="D48">
        <v>250</v>
      </c>
      <c r="E48">
        <v>1</v>
      </c>
      <c r="F48" s="32">
        <f>VLOOKUP(Flow[[#This Row],[WSName]], WSData[#All], 4, FALSE)*Flow[[#This Row],[LoadSize]]*FLOOR(24*7*60*VLOOKUP(Flow[[#This Row],[WSName]], WSData[#All], 3, FALSE)/Flow[[#This Row],[RPT]], 1)</f>
        <v>4250</v>
      </c>
      <c r="G48" s="32">
        <f>Flow[[#This Row],[LoadSize]]*VLOOKUP(Flow[[#This Row],[WSName]], WSData[#All], 4, FALSE)</f>
        <v>250</v>
      </c>
    </row>
    <row r="49" spans="1:7" x14ac:dyDescent="0.2">
      <c r="A49" t="s">
        <v>87</v>
      </c>
      <c r="B49" t="s">
        <v>55</v>
      </c>
      <c r="C49">
        <v>0.3</v>
      </c>
      <c r="D49">
        <v>1</v>
      </c>
      <c r="E49">
        <v>1</v>
      </c>
      <c r="F49" s="32">
        <f>VLOOKUP(Flow[[#This Row],[WSName]], WSData[#All], 4, FALSE)*Flow[[#This Row],[LoadSize]]*FLOOR(24*7*60*VLOOKUP(Flow[[#This Row],[WSName]], WSData[#All], 3, FALSE)/Flow[[#This Row],[RPT]], 1)</f>
        <v>22512</v>
      </c>
      <c r="G49" s="32">
        <f>Flow[[#This Row],[LoadSize]]*VLOOKUP(Flow[[#This Row],[WSName]], WSData[#All], 4, FALSE)</f>
        <v>1</v>
      </c>
    </row>
    <row r="50" spans="1:7" x14ac:dyDescent="0.2">
      <c r="A50" t="s">
        <v>88</v>
      </c>
      <c r="B50" t="s">
        <v>55</v>
      </c>
      <c r="C50">
        <v>0.4</v>
      </c>
      <c r="D50">
        <v>1</v>
      </c>
      <c r="E50">
        <v>1</v>
      </c>
      <c r="F50" s="32">
        <f>VLOOKUP(Flow[[#This Row],[WSName]], WSData[#All], 4, FALSE)*Flow[[#This Row],[LoadSize]]*FLOOR(24*7*60*VLOOKUP(Flow[[#This Row],[WSName]], WSData[#All], 3, FALSE)/Flow[[#This Row],[RPT]], 1)</f>
        <v>16884</v>
      </c>
      <c r="G50" s="32">
        <f>Flow[[#This Row],[LoadSize]]*VLOOKUP(Flow[[#This Row],[WSName]], WSData[#All], 4, FALSE)</f>
        <v>1</v>
      </c>
    </row>
    <row r="51" spans="1:7" x14ac:dyDescent="0.2">
      <c r="A51" t="s">
        <v>149</v>
      </c>
      <c r="B51" t="s">
        <v>55</v>
      </c>
      <c r="C51">
        <v>0.4</v>
      </c>
      <c r="D51">
        <v>1</v>
      </c>
      <c r="E51">
        <v>1</v>
      </c>
      <c r="F51" s="32">
        <f>VLOOKUP(Flow[[#This Row],[WSName]], WSData[#All], 4, FALSE)*Flow[[#This Row],[LoadSize]]*FLOOR(24*7*60*VLOOKUP(Flow[[#This Row],[WSName]], WSData[#All], 3, FALSE)/Flow[[#This Row],[RPT]], 1)</f>
        <v>16884</v>
      </c>
      <c r="G51" s="32">
        <f>Flow[[#This Row],[LoadSize]]*VLOOKUP(Flow[[#This Row],[WSName]], WSData[#All], 4, FALSE)</f>
        <v>1</v>
      </c>
    </row>
    <row r="52" spans="1:7" x14ac:dyDescent="0.2">
      <c r="A52" t="s">
        <v>183</v>
      </c>
      <c r="B52" t="s">
        <v>55</v>
      </c>
      <c r="C52">
        <v>0.2</v>
      </c>
      <c r="D52">
        <v>1</v>
      </c>
      <c r="E52">
        <v>1</v>
      </c>
      <c r="F52" s="32">
        <f>VLOOKUP(Flow[[#This Row],[WSName]], WSData[#All], 4, FALSE)*Flow[[#This Row],[LoadSize]]*FLOOR(24*7*60*VLOOKUP(Flow[[#This Row],[WSName]], WSData[#All], 3, FALSE)/Flow[[#This Row],[RPT]], 1)</f>
        <v>33768</v>
      </c>
      <c r="G52" s="32">
        <f>Flow[[#This Row],[LoadSize]]*VLOOKUP(Flow[[#This Row],[WSName]], WSData[#All], 4, FALSE)</f>
        <v>1</v>
      </c>
    </row>
    <row r="53" spans="1:7" x14ac:dyDescent="0.2">
      <c r="A53" t="s">
        <v>199</v>
      </c>
      <c r="B53" t="s">
        <v>55</v>
      </c>
      <c r="C53">
        <v>0.3</v>
      </c>
      <c r="D53">
        <v>1</v>
      </c>
      <c r="E53">
        <v>1</v>
      </c>
      <c r="F53" s="32">
        <f>VLOOKUP(Flow[[#This Row],[WSName]], WSData[#All], 4, FALSE)*Flow[[#This Row],[LoadSize]]*FLOOR(24*7*60*VLOOKUP(Flow[[#This Row],[WSName]], WSData[#All], 3, FALSE)/Flow[[#This Row],[RPT]], 1)</f>
        <v>22512</v>
      </c>
      <c r="G53" s="32">
        <f>Flow[[#This Row],[LoadSize]]*VLOOKUP(Flow[[#This Row],[WSName]], WSData[#All], 4, FALSE)</f>
        <v>1</v>
      </c>
    </row>
    <row r="54" spans="1:7" x14ac:dyDescent="0.2">
      <c r="A54" t="s">
        <v>201</v>
      </c>
      <c r="B54" t="s">
        <v>55</v>
      </c>
      <c r="C54">
        <v>0.3</v>
      </c>
      <c r="D54">
        <v>1</v>
      </c>
      <c r="E54">
        <v>1</v>
      </c>
      <c r="F54" s="32">
        <f>VLOOKUP(Flow[[#This Row],[WSName]], WSData[#All], 4, FALSE)*Flow[[#This Row],[LoadSize]]*FLOOR(24*7*60*VLOOKUP(Flow[[#This Row],[WSName]], WSData[#All], 3, FALSE)/Flow[[#This Row],[RPT]], 1)</f>
        <v>22512</v>
      </c>
      <c r="G54" s="32">
        <f>Flow[[#This Row],[LoadSize]]*VLOOKUP(Flow[[#This Row],[WSName]], WSData[#All], 4, FALSE)</f>
        <v>1</v>
      </c>
    </row>
    <row r="55" spans="1:7" x14ac:dyDescent="0.2">
      <c r="A55" t="s">
        <v>218</v>
      </c>
      <c r="B55" t="s">
        <v>55</v>
      </c>
      <c r="C55">
        <v>0.2</v>
      </c>
      <c r="D55">
        <v>1</v>
      </c>
      <c r="E55">
        <v>1</v>
      </c>
      <c r="F55" s="32">
        <f>VLOOKUP(Flow[[#This Row],[WSName]], WSData[#All], 4, FALSE)*Flow[[#This Row],[LoadSize]]*FLOOR(24*7*60*VLOOKUP(Flow[[#This Row],[WSName]], WSData[#All], 3, FALSE)/Flow[[#This Row],[RPT]], 1)</f>
        <v>33768</v>
      </c>
      <c r="G55" s="32">
        <f>Flow[[#This Row],[LoadSize]]*VLOOKUP(Flow[[#This Row],[WSName]], WSData[#All], 4, FALSE)</f>
        <v>1</v>
      </c>
    </row>
    <row r="56" spans="1:7" x14ac:dyDescent="0.2">
      <c r="A56" t="s">
        <v>148</v>
      </c>
      <c r="B56" t="s">
        <v>39</v>
      </c>
      <c r="C56">
        <v>202.7</v>
      </c>
      <c r="D56">
        <v>100</v>
      </c>
      <c r="E56">
        <v>1</v>
      </c>
      <c r="F56" s="32">
        <f>VLOOKUP(Flow[[#This Row],[WSName]], WSData[#All], 4, FALSE)*Flow[[#This Row],[LoadSize]]*FLOOR(24*7*60*VLOOKUP(Flow[[#This Row],[WSName]], WSData[#All], 3, FALSE)/Flow[[#This Row],[RPT]], 1)</f>
        <v>3400</v>
      </c>
      <c r="G56" s="32">
        <f>Flow[[#This Row],[LoadSize]]*VLOOKUP(Flow[[#This Row],[WSName]], WSData[#All], 4, FALSE)</f>
        <v>100</v>
      </c>
    </row>
    <row r="57" spans="1:7" x14ac:dyDescent="0.2">
      <c r="A57" t="s">
        <v>193</v>
      </c>
      <c r="B57" t="s">
        <v>39</v>
      </c>
      <c r="C57">
        <v>245.7</v>
      </c>
      <c r="D57">
        <v>250</v>
      </c>
      <c r="E57">
        <v>1</v>
      </c>
      <c r="F57" s="32">
        <f>VLOOKUP(Flow[[#This Row],[WSName]], WSData[#All], 4, FALSE)*Flow[[#This Row],[LoadSize]]*FLOOR(24*7*60*VLOOKUP(Flow[[#This Row],[WSName]], WSData[#All], 3, FALSE)/Flow[[#This Row],[RPT]], 1)</f>
        <v>7000</v>
      </c>
      <c r="G57" s="32">
        <f>Flow[[#This Row],[LoadSize]]*VLOOKUP(Flow[[#This Row],[WSName]], WSData[#All], 4, FALSE)</f>
        <v>250</v>
      </c>
    </row>
    <row r="58" spans="1:7" x14ac:dyDescent="0.2">
      <c r="A58" t="s">
        <v>202</v>
      </c>
      <c r="B58" t="s">
        <v>39</v>
      </c>
      <c r="C58">
        <v>209</v>
      </c>
      <c r="D58">
        <v>250</v>
      </c>
      <c r="E58">
        <v>1</v>
      </c>
      <c r="F58" s="32">
        <f>VLOOKUP(Flow[[#This Row],[WSName]], WSData[#All], 4, FALSE)*Flow[[#This Row],[LoadSize]]*FLOOR(24*7*60*VLOOKUP(Flow[[#This Row],[WSName]], WSData[#All], 3, FALSE)/Flow[[#This Row],[RPT]], 1)</f>
        <v>8250</v>
      </c>
      <c r="G58" s="32">
        <f>Flow[[#This Row],[LoadSize]]*VLOOKUP(Flow[[#This Row],[WSName]], WSData[#All], 4, FALSE)</f>
        <v>250</v>
      </c>
    </row>
    <row r="59" spans="1:7" x14ac:dyDescent="0.2">
      <c r="A59" t="s">
        <v>210</v>
      </c>
      <c r="B59" t="s">
        <v>39</v>
      </c>
      <c r="C59">
        <v>322.8</v>
      </c>
      <c r="D59">
        <v>250</v>
      </c>
      <c r="E59">
        <v>1</v>
      </c>
      <c r="F59" s="32">
        <f>VLOOKUP(Flow[[#This Row],[WSName]], WSData[#All], 4, FALSE)*Flow[[#This Row],[LoadSize]]*FLOOR(24*7*60*VLOOKUP(Flow[[#This Row],[WSName]], WSData[#All], 3, FALSE)/Flow[[#This Row],[RPT]], 1)</f>
        <v>5250</v>
      </c>
      <c r="G59" s="32">
        <f>Flow[[#This Row],[LoadSize]]*VLOOKUP(Flow[[#This Row],[WSName]], WSData[#All], 4, FALSE)</f>
        <v>250</v>
      </c>
    </row>
    <row r="60" spans="1:7" x14ac:dyDescent="0.2">
      <c r="A60" t="s">
        <v>106</v>
      </c>
      <c r="B60" t="s">
        <v>59</v>
      </c>
      <c r="C60">
        <v>0.3</v>
      </c>
      <c r="D60">
        <v>1</v>
      </c>
      <c r="E60">
        <v>1</v>
      </c>
      <c r="F60" s="32">
        <f>VLOOKUP(Flow[[#This Row],[WSName]], WSData[#All], 4, FALSE)*Flow[[#This Row],[LoadSize]]*FLOOR(24*7*60*VLOOKUP(Flow[[#This Row],[WSName]], WSData[#All], 3, FALSE)/Flow[[#This Row],[RPT]], 1)</f>
        <v>30912</v>
      </c>
      <c r="G60" s="32">
        <f>Flow[[#This Row],[LoadSize]]*VLOOKUP(Flow[[#This Row],[WSName]], WSData[#All], 4, FALSE)</f>
        <v>1</v>
      </c>
    </row>
    <row r="61" spans="1:7" x14ac:dyDescent="0.2">
      <c r="A61" t="s">
        <v>137</v>
      </c>
      <c r="B61" t="s">
        <v>59</v>
      </c>
      <c r="C61">
        <v>0.5</v>
      </c>
      <c r="D61">
        <v>1</v>
      </c>
      <c r="E61">
        <v>1</v>
      </c>
      <c r="F61" s="32">
        <f>VLOOKUP(Flow[[#This Row],[WSName]], WSData[#All], 4, FALSE)*Flow[[#This Row],[LoadSize]]*FLOOR(24*7*60*VLOOKUP(Flow[[#This Row],[WSName]], WSData[#All], 3, FALSE)/Flow[[#This Row],[RPT]], 1)</f>
        <v>18547</v>
      </c>
      <c r="G61" s="32">
        <f>Flow[[#This Row],[LoadSize]]*VLOOKUP(Flow[[#This Row],[WSName]], WSData[#All], 4, FALSE)</f>
        <v>1</v>
      </c>
    </row>
    <row r="62" spans="1:7" x14ac:dyDescent="0.2">
      <c r="A62" t="s">
        <v>164</v>
      </c>
      <c r="B62" t="s">
        <v>59</v>
      </c>
      <c r="C62">
        <v>0.5</v>
      </c>
      <c r="D62">
        <v>1</v>
      </c>
      <c r="E62">
        <v>1</v>
      </c>
      <c r="F62" s="32">
        <f>VLOOKUP(Flow[[#This Row],[WSName]], WSData[#All], 4, FALSE)*Flow[[#This Row],[LoadSize]]*FLOOR(24*7*60*VLOOKUP(Flow[[#This Row],[WSName]], WSData[#All], 3, FALSE)/Flow[[#This Row],[RPT]], 1)</f>
        <v>18547</v>
      </c>
      <c r="G62" s="32">
        <f>Flow[[#This Row],[LoadSize]]*VLOOKUP(Flow[[#This Row],[WSName]], WSData[#All], 4, FALSE)</f>
        <v>1</v>
      </c>
    </row>
    <row r="63" spans="1:7" x14ac:dyDescent="0.2">
      <c r="A63" t="s">
        <v>176</v>
      </c>
      <c r="B63" t="s">
        <v>59</v>
      </c>
      <c r="C63">
        <v>0.3</v>
      </c>
      <c r="D63">
        <v>1</v>
      </c>
      <c r="E63">
        <v>1</v>
      </c>
      <c r="F63" s="32">
        <f>VLOOKUP(Flow[[#This Row],[WSName]], WSData[#All], 4, FALSE)*Flow[[#This Row],[LoadSize]]*FLOOR(24*7*60*VLOOKUP(Flow[[#This Row],[WSName]], WSData[#All], 3, FALSE)/Flow[[#This Row],[RPT]], 1)</f>
        <v>30912</v>
      </c>
      <c r="G63" s="32">
        <f>Flow[[#This Row],[LoadSize]]*VLOOKUP(Flow[[#This Row],[WSName]], WSData[#All], 4, FALSE)</f>
        <v>1</v>
      </c>
    </row>
    <row r="64" spans="1:7" x14ac:dyDescent="0.2">
      <c r="A64" t="s">
        <v>208</v>
      </c>
      <c r="B64" t="s">
        <v>59</v>
      </c>
      <c r="C64">
        <v>0.4</v>
      </c>
      <c r="D64">
        <v>1</v>
      </c>
      <c r="E64">
        <v>1</v>
      </c>
      <c r="F64" s="32">
        <f>VLOOKUP(Flow[[#This Row],[WSName]], WSData[#All], 4, FALSE)*Flow[[#This Row],[LoadSize]]*FLOOR(24*7*60*VLOOKUP(Flow[[#This Row],[WSName]], WSData[#All], 3, FALSE)/Flow[[#This Row],[RPT]], 1)</f>
        <v>23184</v>
      </c>
      <c r="G64" s="32">
        <f>Flow[[#This Row],[LoadSize]]*VLOOKUP(Flow[[#This Row],[WSName]], WSData[#All], 4, FALSE)</f>
        <v>1</v>
      </c>
    </row>
    <row r="65" spans="1:7" x14ac:dyDescent="0.2">
      <c r="A65" t="s">
        <v>237</v>
      </c>
      <c r="B65" t="s">
        <v>59</v>
      </c>
      <c r="C65">
        <v>0.4</v>
      </c>
      <c r="D65">
        <v>1</v>
      </c>
      <c r="E65">
        <v>1</v>
      </c>
      <c r="F65" s="32">
        <f>VLOOKUP(Flow[[#This Row],[WSName]], WSData[#All], 4, FALSE)*Flow[[#This Row],[LoadSize]]*FLOOR(24*7*60*VLOOKUP(Flow[[#This Row],[WSName]], WSData[#All], 3, FALSE)/Flow[[#This Row],[RPT]], 1)</f>
        <v>23184</v>
      </c>
      <c r="G65" s="32">
        <f>Flow[[#This Row],[LoadSize]]*VLOOKUP(Flow[[#This Row],[WSName]], WSData[#All], 4, FALSE)</f>
        <v>1</v>
      </c>
    </row>
    <row r="66" spans="1:7" x14ac:dyDescent="0.2">
      <c r="A66" t="s">
        <v>239</v>
      </c>
      <c r="B66" t="s">
        <v>59</v>
      </c>
      <c r="C66">
        <v>0.4</v>
      </c>
      <c r="D66">
        <v>1</v>
      </c>
      <c r="E66">
        <v>1</v>
      </c>
      <c r="F66" s="32">
        <f>VLOOKUP(Flow[[#This Row],[WSName]], WSData[#All], 4, FALSE)*Flow[[#This Row],[LoadSize]]*FLOOR(24*7*60*VLOOKUP(Flow[[#This Row],[WSName]], WSData[#All], 3, FALSE)/Flow[[#This Row],[RPT]], 1)</f>
        <v>23184</v>
      </c>
      <c r="G66" s="32">
        <f>Flow[[#This Row],[LoadSize]]*VLOOKUP(Flow[[#This Row],[WSName]], WSData[#All], 4, FALSE)</f>
        <v>1</v>
      </c>
    </row>
    <row r="67" spans="1:7" x14ac:dyDescent="0.2">
      <c r="A67" t="s">
        <v>224</v>
      </c>
      <c r="B67" t="s">
        <v>61</v>
      </c>
      <c r="C67">
        <v>0.2</v>
      </c>
      <c r="D67">
        <v>1</v>
      </c>
      <c r="E67">
        <v>1</v>
      </c>
      <c r="F67" s="32">
        <f>VLOOKUP(Flow[[#This Row],[WSName]], WSData[#All], 4, FALSE)*Flow[[#This Row],[LoadSize]]*FLOOR(24*7*60*VLOOKUP(Flow[[#This Row],[WSName]], WSData[#All], 3, FALSE)/Flow[[#This Row],[RPT]], 1)</f>
        <v>42840</v>
      </c>
      <c r="G67" s="32">
        <f>Flow[[#This Row],[LoadSize]]*VLOOKUP(Flow[[#This Row],[WSName]], WSData[#All], 4, FALSE)</f>
        <v>1</v>
      </c>
    </row>
    <row r="68" spans="1:7" x14ac:dyDescent="0.2">
      <c r="A68" t="s">
        <v>242</v>
      </c>
      <c r="B68" t="s">
        <v>61</v>
      </c>
      <c r="C68">
        <v>0.2</v>
      </c>
      <c r="D68">
        <v>1</v>
      </c>
      <c r="E68">
        <v>1</v>
      </c>
      <c r="F68" s="32">
        <f>VLOOKUP(Flow[[#This Row],[WSName]], WSData[#All], 4, FALSE)*Flow[[#This Row],[LoadSize]]*FLOOR(24*7*60*VLOOKUP(Flow[[#This Row],[WSName]], WSData[#All], 3, FALSE)/Flow[[#This Row],[RPT]], 1)</f>
        <v>42840</v>
      </c>
      <c r="G68" s="32">
        <f>Flow[[#This Row],[LoadSize]]*VLOOKUP(Flow[[#This Row],[WSName]], WSData[#All], 4, FALSE)</f>
        <v>1</v>
      </c>
    </row>
    <row r="69" spans="1:7" x14ac:dyDescent="0.2">
      <c r="A69" t="s">
        <v>179</v>
      </c>
      <c r="B69" t="s">
        <v>31</v>
      </c>
      <c r="C69">
        <v>0.8</v>
      </c>
      <c r="D69">
        <v>1</v>
      </c>
      <c r="E69">
        <v>2</v>
      </c>
      <c r="F69" s="32">
        <f>VLOOKUP(Flow[[#This Row],[WSName]], WSData[#All], 4, FALSE)*Flow[[#This Row],[LoadSize]]*FLOOR(24*7*60*VLOOKUP(Flow[[#This Row],[WSName]], WSData[#All], 3, FALSE)/Flow[[#This Row],[RPT]], 1)</f>
        <v>17640</v>
      </c>
      <c r="G69" s="32">
        <f>Flow[[#This Row],[LoadSize]]*VLOOKUP(Flow[[#This Row],[WSName]], WSData[#All], 4, FALSE)</f>
        <v>2</v>
      </c>
    </row>
    <row r="70" spans="1:7" x14ac:dyDescent="0.2">
      <c r="A70" t="s">
        <v>240</v>
      </c>
      <c r="B70" t="s">
        <v>31</v>
      </c>
      <c r="C70">
        <v>6</v>
      </c>
      <c r="D70">
        <v>1</v>
      </c>
      <c r="E70">
        <v>2</v>
      </c>
      <c r="F70" s="32">
        <f>VLOOKUP(Flow[[#This Row],[WSName]], WSData[#All], 4, FALSE)*Flow[[#This Row],[LoadSize]]*FLOOR(24*7*60*VLOOKUP(Flow[[#This Row],[WSName]], WSData[#All], 3, FALSE)/Flow[[#This Row],[RPT]], 1)</f>
        <v>2352</v>
      </c>
      <c r="G70" s="32">
        <f>Flow[[#This Row],[LoadSize]]*VLOOKUP(Flow[[#This Row],[WSName]], WSData[#All], 4, FALSE)</f>
        <v>2</v>
      </c>
    </row>
    <row r="71" spans="1:7" x14ac:dyDescent="0.2">
      <c r="A71" t="s">
        <v>187</v>
      </c>
      <c r="B71" t="s">
        <v>71</v>
      </c>
      <c r="C71">
        <v>1.9</v>
      </c>
      <c r="D71">
        <v>1</v>
      </c>
      <c r="E71">
        <v>3</v>
      </c>
      <c r="F71" s="32">
        <f>VLOOKUP(Flow[[#This Row],[WSName]], WSData[#All], 4, FALSE)*Flow[[#This Row],[LoadSize]]*FLOOR(24*7*60*VLOOKUP(Flow[[#This Row],[WSName]], WSData[#All], 3, FALSE)/Flow[[#This Row],[RPT]], 1)</f>
        <v>13368</v>
      </c>
      <c r="G71" s="32">
        <f>Flow[[#This Row],[LoadSize]]*VLOOKUP(Flow[[#This Row],[WSName]], WSData[#All], 4, FALSE)</f>
        <v>3</v>
      </c>
    </row>
    <row r="72" spans="1:7" x14ac:dyDescent="0.2">
      <c r="A72" t="s">
        <v>195</v>
      </c>
      <c r="B72" t="s">
        <v>71</v>
      </c>
      <c r="C72">
        <v>1.6</v>
      </c>
      <c r="D72">
        <v>1</v>
      </c>
      <c r="E72">
        <v>3</v>
      </c>
      <c r="F72" s="32">
        <f>VLOOKUP(Flow[[#This Row],[WSName]], WSData[#All], 4, FALSE)*Flow[[#This Row],[LoadSize]]*FLOOR(24*7*60*VLOOKUP(Flow[[#This Row],[WSName]], WSData[#All], 3, FALSE)/Flow[[#This Row],[RPT]], 1)</f>
        <v>15876</v>
      </c>
      <c r="G72" s="32">
        <f>Flow[[#This Row],[LoadSize]]*VLOOKUP(Flow[[#This Row],[WSName]], WSData[#All], 4, FALSE)</f>
        <v>3</v>
      </c>
    </row>
    <row r="73" spans="1:7" x14ac:dyDescent="0.2">
      <c r="A73" t="s">
        <v>200</v>
      </c>
      <c r="B73" t="s">
        <v>71</v>
      </c>
      <c r="C73">
        <v>2.5</v>
      </c>
      <c r="D73">
        <v>1</v>
      </c>
      <c r="E73">
        <v>3</v>
      </c>
      <c r="F73" s="32">
        <f>VLOOKUP(Flow[[#This Row],[WSName]], WSData[#All], 4, FALSE)*Flow[[#This Row],[LoadSize]]*FLOOR(24*7*60*VLOOKUP(Flow[[#This Row],[WSName]], WSData[#All], 3, FALSE)/Flow[[#This Row],[RPT]], 1)</f>
        <v>10158</v>
      </c>
      <c r="G73" s="32">
        <f>Flow[[#This Row],[LoadSize]]*VLOOKUP(Flow[[#This Row],[WSName]], WSData[#All], 4, FALSE)</f>
        <v>3</v>
      </c>
    </row>
    <row r="74" spans="1:7" x14ac:dyDescent="0.2">
      <c r="A74" t="s">
        <v>271</v>
      </c>
      <c r="B74" t="s">
        <v>57</v>
      </c>
      <c r="C74">
        <v>0.4</v>
      </c>
      <c r="D74">
        <v>1</v>
      </c>
      <c r="E74">
        <v>1</v>
      </c>
      <c r="F74" s="32">
        <f>VLOOKUP(Flow[[#This Row],[WSName]], WSData[#All], 4, FALSE)*Flow[[#This Row],[LoadSize]]*FLOOR(24*7*60*VLOOKUP(Flow[[#This Row],[WSName]], WSData[#All], 3, FALSE)/Flow[[#This Row],[RPT]], 1)</f>
        <v>21168</v>
      </c>
      <c r="G74" s="32">
        <f>Flow[[#This Row],[LoadSize]]*VLOOKUP(Flow[[#This Row],[WSName]], WSData[#All], 4, FALSE)</f>
        <v>1</v>
      </c>
    </row>
    <row r="75" spans="1:7" x14ac:dyDescent="0.2">
      <c r="A75" t="s">
        <v>107</v>
      </c>
      <c r="B75" t="s">
        <v>53</v>
      </c>
      <c r="C75">
        <v>19.899999999999999</v>
      </c>
      <c r="D75">
        <v>1</v>
      </c>
      <c r="E75">
        <v>6</v>
      </c>
      <c r="F75" s="32">
        <f>VLOOKUP(Flow[[#This Row],[WSName]], WSData[#All], 4, FALSE)*Flow[[#This Row],[LoadSize]]*FLOOR(24*7*60*VLOOKUP(Flow[[#This Row],[WSName]], WSData[#All], 3, FALSE)/Flow[[#This Row],[RPT]], 1)</f>
        <v>2610</v>
      </c>
      <c r="G75" s="32">
        <f>Flow[[#This Row],[LoadSize]]*VLOOKUP(Flow[[#This Row],[WSName]], WSData[#All], 4, FALSE)</f>
        <v>6</v>
      </c>
    </row>
    <row r="76" spans="1:7" x14ac:dyDescent="0.2">
      <c r="A76" t="s">
        <v>151</v>
      </c>
      <c r="B76" t="s">
        <v>53</v>
      </c>
      <c r="C76">
        <v>23.4</v>
      </c>
      <c r="D76">
        <v>1</v>
      </c>
      <c r="E76">
        <v>6</v>
      </c>
      <c r="F76" s="32">
        <f>VLOOKUP(Flow[[#This Row],[WSName]], WSData[#All], 4, FALSE)*Flow[[#This Row],[LoadSize]]*FLOOR(24*7*60*VLOOKUP(Flow[[#This Row],[WSName]], WSData[#All], 3, FALSE)/Flow[[#This Row],[RPT]], 1)</f>
        <v>2220</v>
      </c>
      <c r="G76" s="32">
        <f>Flow[[#This Row],[LoadSize]]*VLOOKUP(Flow[[#This Row],[WSName]], WSData[#All], 4, FALSE)</f>
        <v>6</v>
      </c>
    </row>
    <row r="77" spans="1:7" x14ac:dyDescent="0.2">
      <c r="A77" t="s">
        <v>82</v>
      </c>
      <c r="B77" t="s">
        <v>66</v>
      </c>
      <c r="C77">
        <v>19.3</v>
      </c>
      <c r="D77">
        <v>100</v>
      </c>
      <c r="E77">
        <v>1</v>
      </c>
      <c r="F77" s="32">
        <f>VLOOKUP(Flow[[#This Row],[WSName]], WSData[#All], 4, FALSE)*Flow[[#This Row],[LoadSize]]*FLOOR(24*7*60*VLOOKUP(Flow[[#This Row],[WSName]], WSData[#All], 3, FALSE)/Flow[[#This Row],[RPT]], 1)</f>
        <v>37800</v>
      </c>
      <c r="G77" s="32">
        <f>Flow[[#This Row],[LoadSize]]*VLOOKUP(Flow[[#This Row],[WSName]], WSData[#All], 4, FALSE)</f>
        <v>100</v>
      </c>
    </row>
    <row r="78" spans="1:7" x14ac:dyDescent="0.2">
      <c r="A78" t="s">
        <v>90</v>
      </c>
      <c r="B78" t="s">
        <v>66</v>
      </c>
      <c r="C78">
        <v>11.7</v>
      </c>
      <c r="D78">
        <v>100</v>
      </c>
      <c r="E78">
        <v>1</v>
      </c>
      <c r="F78" s="32">
        <f>VLOOKUP(Flow[[#This Row],[WSName]], WSData[#All], 4, FALSE)*Flow[[#This Row],[LoadSize]]*FLOOR(24*7*60*VLOOKUP(Flow[[#This Row],[WSName]], WSData[#All], 3, FALSE)/Flow[[#This Row],[RPT]], 1)</f>
        <v>62400</v>
      </c>
      <c r="G78" s="32">
        <f>Flow[[#This Row],[LoadSize]]*VLOOKUP(Flow[[#This Row],[WSName]], WSData[#All], 4, FALSE)</f>
        <v>100</v>
      </c>
    </row>
    <row r="79" spans="1:7" x14ac:dyDescent="0.2">
      <c r="A79" t="s">
        <v>104</v>
      </c>
      <c r="B79" t="s">
        <v>66</v>
      </c>
      <c r="C79">
        <v>19.399999999999999</v>
      </c>
      <c r="D79">
        <v>100</v>
      </c>
      <c r="E79">
        <v>1</v>
      </c>
      <c r="F79" s="32">
        <f>VLOOKUP(Flow[[#This Row],[WSName]], WSData[#All], 4, FALSE)*Flow[[#This Row],[LoadSize]]*FLOOR(24*7*60*VLOOKUP(Flow[[#This Row],[WSName]], WSData[#All], 3, FALSE)/Flow[[#This Row],[RPT]], 1)</f>
        <v>37600</v>
      </c>
      <c r="G79" s="32">
        <f>Flow[[#This Row],[LoadSize]]*VLOOKUP(Flow[[#This Row],[WSName]], WSData[#All], 4, FALSE)</f>
        <v>100</v>
      </c>
    </row>
    <row r="80" spans="1:7" x14ac:dyDescent="0.2">
      <c r="A80" t="s">
        <v>114</v>
      </c>
      <c r="B80" t="s">
        <v>66</v>
      </c>
      <c r="C80">
        <v>11.8</v>
      </c>
      <c r="D80">
        <v>100</v>
      </c>
      <c r="E80">
        <v>1</v>
      </c>
      <c r="F80" s="32">
        <f>VLOOKUP(Flow[[#This Row],[WSName]], WSData[#All], 4, FALSE)*Flow[[#This Row],[LoadSize]]*FLOOR(24*7*60*VLOOKUP(Flow[[#This Row],[WSName]], WSData[#All], 3, FALSE)/Flow[[#This Row],[RPT]], 1)</f>
        <v>61900</v>
      </c>
      <c r="G80" s="32">
        <f>Flow[[#This Row],[LoadSize]]*VLOOKUP(Flow[[#This Row],[WSName]], WSData[#All], 4, FALSE)</f>
        <v>100</v>
      </c>
    </row>
    <row r="81" spans="1:7" x14ac:dyDescent="0.2">
      <c r="A81" t="s">
        <v>117</v>
      </c>
      <c r="B81" t="s">
        <v>66</v>
      </c>
      <c r="C81">
        <v>8.9</v>
      </c>
      <c r="D81">
        <v>100</v>
      </c>
      <c r="E81">
        <v>1</v>
      </c>
      <c r="F81" s="32">
        <f>VLOOKUP(Flow[[#This Row],[WSName]], WSData[#All], 4, FALSE)*Flow[[#This Row],[LoadSize]]*FLOOR(24*7*60*VLOOKUP(Flow[[#This Row],[WSName]], WSData[#All], 3, FALSE)/Flow[[#This Row],[RPT]], 1)</f>
        <v>82100</v>
      </c>
      <c r="G81" s="32">
        <f>Flow[[#This Row],[LoadSize]]*VLOOKUP(Flow[[#This Row],[WSName]], WSData[#All], 4, FALSE)</f>
        <v>100</v>
      </c>
    </row>
    <row r="82" spans="1:7" x14ac:dyDescent="0.2">
      <c r="A82" t="s">
        <v>124</v>
      </c>
      <c r="B82" t="s">
        <v>66</v>
      </c>
      <c r="C82">
        <v>7.6</v>
      </c>
      <c r="D82">
        <v>100</v>
      </c>
      <c r="E82">
        <v>1</v>
      </c>
      <c r="F82" s="32">
        <f>VLOOKUP(Flow[[#This Row],[WSName]], WSData[#All], 4, FALSE)*Flow[[#This Row],[LoadSize]]*FLOOR(24*7*60*VLOOKUP(Flow[[#This Row],[WSName]], WSData[#All], 3, FALSE)/Flow[[#This Row],[RPT]], 1)</f>
        <v>96100</v>
      </c>
      <c r="G82" s="32">
        <f>Flow[[#This Row],[LoadSize]]*VLOOKUP(Flow[[#This Row],[WSName]], WSData[#All], 4, FALSE)</f>
        <v>100</v>
      </c>
    </row>
    <row r="83" spans="1:7" x14ac:dyDescent="0.2">
      <c r="A83" t="s">
        <v>134</v>
      </c>
      <c r="B83" t="s">
        <v>66</v>
      </c>
      <c r="C83">
        <v>17.2</v>
      </c>
      <c r="D83">
        <v>100</v>
      </c>
      <c r="E83">
        <v>1</v>
      </c>
      <c r="F83" s="32">
        <f>VLOOKUP(Flow[[#This Row],[WSName]], WSData[#All], 4, FALSE)*Flow[[#This Row],[LoadSize]]*FLOOR(24*7*60*VLOOKUP(Flow[[#This Row],[WSName]], WSData[#All], 3, FALSE)/Flow[[#This Row],[RPT]], 1)</f>
        <v>42400</v>
      </c>
      <c r="G83" s="32">
        <f>Flow[[#This Row],[LoadSize]]*VLOOKUP(Flow[[#This Row],[WSName]], WSData[#All], 4, FALSE)</f>
        <v>100</v>
      </c>
    </row>
    <row r="84" spans="1:7" x14ac:dyDescent="0.2">
      <c r="A84" t="s">
        <v>150</v>
      </c>
      <c r="B84" t="s">
        <v>66</v>
      </c>
      <c r="C84">
        <v>8.1999999999999993</v>
      </c>
      <c r="D84">
        <v>100</v>
      </c>
      <c r="E84">
        <v>1</v>
      </c>
      <c r="F84" s="32">
        <f>VLOOKUP(Flow[[#This Row],[WSName]], WSData[#All], 4, FALSE)*Flow[[#This Row],[LoadSize]]*FLOOR(24*7*60*VLOOKUP(Flow[[#This Row],[WSName]], WSData[#All], 3, FALSE)/Flow[[#This Row],[RPT]], 1)</f>
        <v>89100</v>
      </c>
      <c r="G84" s="32">
        <f>Flow[[#This Row],[LoadSize]]*VLOOKUP(Flow[[#This Row],[WSName]], WSData[#All], 4, FALSE)</f>
        <v>100</v>
      </c>
    </row>
    <row r="85" spans="1:7" x14ac:dyDescent="0.2">
      <c r="A85" t="s">
        <v>160</v>
      </c>
      <c r="B85" t="s">
        <v>66</v>
      </c>
      <c r="C85">
        <v>15.8</v>
      </c>
      <c r="D85">
        <v>100</v>
      </c>
      <c r="E85">
        <v>1</v>
      </c>
      <c r="F85" s="32">
        <f>VLOOKUP(Flow[[#This Row],[WSName]], WSData[#All], 4, FALSE)*Flow[[#This Row],[LoadSize]]*FLOOR(24*7*60*VLOOKUP(Flow[[#This Row],[WSName]], WSData[#All], 3, FALSE)/Flow[[#This Row],[RPT]], 1)</f>
        <v>46200</v>
      </c>
      <c r="G85" s="32">
        <f>Flow[[#This Row],[LoadSize]]*VLOOKUP(Flow[[#This Row],[WSName]], WSData[#All], 4, FALSE)</f>
        <v>100</v>
      </c>
    </row>
    <row r="86" spans="1:7" x14ac:dyDescent="0.2">
      <c r="A86" t="s">
        <v>168</v>
      </c>
      <c r="B86" t="s">
        <v>66</v>
      </c>
      <c r="C86">
        <v>19</v>
      </c>
      <c r="D86">
        <v>100</v>
      </c>
      <c r="E86">
        <v>1</v>
      </c>
      <c r="F86" s="32">
        <f>VLOOKUP(Flow[[#This Row],[WSName]], WSData[#All], 4, FALSE)*Flow[[#This Row],[LoadSize]]*FLOOR(24*7*60*VLOOKUP(Flow[[#This Row],[WSName]], WSData[#All], 3, FALSE)/Flow[[#This Row],[RPT]], 1)</f>
        <v>38400</v>
      </c>
      <c r="G86" s="32">
        <f>Flow[[#This Row],[LoadSize]]*VLOOKUP(Flow[[#This Row],[WSName]], WSData[#All], 4, FALSE)</f>
        <v>100</v>
      </c>
    </row>
    <row r="87" spans="1:7" x14ac:dyDescent="0.2">
      <c r="A87" t="s">
        <v>174</v>
      </c>
      <c r="B87" t="s">
        <v>66</v>
      </c>
      <c r="C87">
        <v>14.5</v>
      </c>
      <c r="D87">
        <v>100</v>
      </c>
      <c r="E87">
        <v>1</v>
      </c>
      <c r="F87" s="32">
        <f>VLOOKUP(Flow[[#This Row],[WSName]], WSData[#All], 4, FALSE)*Flow[[#This Row],[LoadSize]]*FLOOR(24*7*60*VLOOKUP(Flow[[#This Row],[WSName]], WSData[#All], 3, FALSE)/Flow[[#This Row],[RPT]], 1)</f>
        <v>50400</v>
      </c>
      <c r="G87" s="32">
        <f>Flow[[#This Row],[LoadSize]]*VLOOKUP(Flow[[#This Row],[WSName]], WSData[#All], 4, FALSE)</f>
        <v>100</v>
      </c>
    </row>
    <row r="88" spans="1:7" x14ac:dyDescent="0.2">
      <c r="A88" t="s">
        <v>192</v>
      </c>
      <c r="B88" t="s">
        <v>66</v>
      </c>
      <c r="C88">
        <v>11.6</v>
      </c>
      <c r="D88">
        <v>100</v>
      </c>
      <c r="E88">
        <v>1</v>
      </c>
      <c r="F88" s="32">
        <f>VLOOKUP(Flow[[#This Row],[WSName]], WSData[#All], 4, FALSE)*Flow[[#This Row],[LoadSize]]*FLOOR(24*7*60*VLOOKUP(Flow[[#This Row],[WSName]], WSData[#All], 3, FALSE)/Flow[[#This Row],[RPT]], 1)</f>
        <v>63000</v>
      </c>
      <c r="G88" s="32">
        <f>Flow[[#This Row],[LoadSize]]*VLOOKUP(Flow[[#This Row],[WSName]], WSData[#All], 4, FALSE)</f>
        <v>100</v>
      </c>
    </row>
    <row r="89" spans="1:7" x14ac:dyDescent="0.2">
      <c r="A89" t="s">
        <v>198</v>
      </c>
      <c r="B89" t="s">
        <v>66</v>
      </c>
      <c r="C89">
        <v>12.3</v>
      </c>
      <c r="D89">
        <v>100</v>
      </c>
      <c r="E89">
        <v>1</v>
      </c>
      <c r="F89" s="32">
        <f>VLOOKUP(Flow[[#This Row],[WSName]], WSData[#All], 4, FALSE)*Flow[[#This Row],[LoadSize]]*FLOOR(24*7*60*VLOOKUP(Flow[[#This Row],[WSName]], WSData[#All], 3, FALSE)/Flow[[#This Row],[RPT]], 1)</f>
        <v>59400</v>
      </c>
      <c r="G89" s="32">
        <f>Flow[[#This Row],[LoadSize]]*VLOOKUP(Flow[[#This Row],[WSName]], WSData[#All], 4, FALSE)</f>
        <v>100</v>
      </c>
    </row>
    <row r="90" spans="1:7" x14ac:dyDescent="0.2">
      <c r="A90" t="s">
        <v>213</v>
      </c>
      <c r="B90" t="s">
        <v>66</v>
      </c>
      <c r="C90">
        <v>10.9</v>
      </c>
      <c r="D90">
        <v>100</v>
      </c>
      <c r="E90">
        <v>1</v>
      </c>
      <c r="F90" s="32">
        <f>VLOOKUP(Flow[[#This Row],[WSName]], WSData[#All], 4, FALSE)*Flow[[#This Row],[LoadSize]]*FLOOR(24*7*60*VLOOKUP(Flow[[#This Row],[WSName]], WSData[#All], 3, FALSE)/Flow[[#This Row],[RPT]], 1)</f>
        <v>67000</v>
      </c>
      <c r="G90" s="32">
        <f>Flow[[#This Row],[LoadSize]]*VLOOKUP(Flow[[#This Row],[WSName]], WSData[#All], 4, FALSE)</f>
        <v>100</v>
      </c>
    </row>
    <row r="91" spans="1:7" x14ac:dyDescent="0.2">
      <c r="A91" t="s">
        <v>229</v>
      </c>
      <c r="B91" t="s">
        <v>66</v>
      </c>
      <c r="C91">
        <v>23.8</v>
      </c>
      <c r="D91">
        <v>100</v>
      </c>
      <c r="E91">
        <v>1</v>
      </c>
      <c r="F91" s="32">
        <f>VLOOKUP(Flow[[#This Row],[WSName]], WSData[#All], 4, FALSE)*Flow[[#This Row],[LoadSize]]*FLOOR(24*7*60*VLOOKUP(Flow[[#This Row],[WSName]], WSData[#All], 3, FALSE)/Flow[[#This Row],[RPT]], 1)</f>
        <v>30700</v>
      </c>
      <c r="G91" s="32">
        <f>Flow[[#This Row],[LoadSize]]*VLOOKUP(Flow[[#This Row],[WSName]], WSData[#All], 4, FALSE)</f>
        <v>100</v>
      </c>
    </row>
    <row r="92" spans="1:7" x14ac:dyDescent="0.2">
      <c r="A92" t="s">
        <v>250</v>
      </c>
      <c r="B92" t="s">
        <v>66</v>
      </c>
      <c r="C92">
        <v>12.8</v>
      </c>
      <c r="D92">
        <v>100</v>
      </c>
      <c r="E92">
        <v>1</v>
      </c>
      <c r="F92" s="32">
        <f>VLOOKUP(Flow[[#This Row],[WSName]], WSData[#All], 4, FALSE)*Flow[[#This Row],[LoadSize]]*FLOOR(24*7*60*VLOOKUP(Flow[[#This Row],[WSName]], WSData[#All], 3, FALSE)/Flow[[#This Row],[RPT]], 1)</f>
        <v>57000</v>
      </c>
      <c r="G92" s="32">
        <f>Flow[[#This Row],[LoadSize]]*VLOOKUP(Flow[[#This Row],[WSName]], WSData[#All], 4, FALSE)</f>
        <v>100</v>
      </c>
    </row>
    <row r="93" spans="1:7" x14ac:dyDescent="0.2">
      <c r="A93" t="s">
        <v>256</v>
      </c>
      <c r="B93" t="s">
        <v>66</v>
      </c>
      <c r="C93">
        <v>11.2</v>
      </c>
      <c r="D93">
        <v>100</v>
      </c>
      <c r="E93">
        <v>1</v>
      </c>
      <c r="F93" s="32">
        <f>VLOOKUP(Flow[[#This Row],[WSName]], WSData[#All], 4, FALSE)*Flow[[#This Row],[LoadSize]]*FLOOR(24*7*60*VLOOKUP(Flow[[#This Row],[WSName]], WSData[#All], 3, FALSE)/Flow[[#This Row],[RPT]], 1)</f>
        <v>65200</v>
      </c>
      <c r="G93" s="32">
        <f>Flow[[#This Row],[LoadSize]]*VLOOKUP(Flow[[#This Row],[WSName]], WSData[#All], 4, FALSE)</f>
        <v>100</v>
      </c>
    </row>
    <row r="94" spans="1:7" x14ac:dyDescent="0.2">
      <c r="A94" t="s">
        <v>269</v>
      </c>
      <c r="B94" t="s">
        <v>66</v>
      </c>
      <c r="C94">
        <v>26.5</v>
      </c>
      <c r="D94">
        <v>100</v>
      </c>
      <c r="E94">
        <v>1</v>
      </c>
      <c r="F94" s="32">
        <f>VLOOKUP(Flow[[#This Row],[WSName]], WSData[#All], 4, FALSE)*Flow[[#This Row],[LoadSize]]*FLOOR(24*7*60*VLOOKUP(Flow[[#This Row],[WSName]], WSData[#All], 3, FALSE)/Flow[[#This Row],[RPT]], 1)</f>
        <v>27500</v>
      </c>
      <c r="G94" s="32">
        <f>Flow[[#This Row],[LoadSize]]*VLOOKUP(Flow[[#This Row],[WSName]], WSData[#All], 4, FALSE)</f>
        <v>100</v>
      </c>
    </row>
    <row r="95" spans="1:7" x14ac:dyDescent="0.2">
      <c r="A95" t="s">
        <v>84</v>
      </c>
      <c r="B95" t="s">
        <v>24</v>
      </c>
      <c r="C95">
        <v>19.100000000000001</v>
      </c>
      <c r="D95">
        <v>1</v>
      </c>
      <c r="E95">
        <v>5</v>
      </c>
      <c r="F95" s="32">
        <f>VLOOKUP(Flow[[#This Row],[WSName]], WSData[#All], 4, FALSE)*Flow[[#This Row],[LoadSize]]*FLOOR(24*7*60*VLOOKUP(Flow[[#This Row],[WSName]], WSData[#All], 3, FALSE)/Flow[[#This Row],[RPT]], 1)</f>
        <v>1715</v>
      </c>
      <c r="G95" s="32">
        <f>Flow[[#This Row],[LoadSize]]*VLOOKUP(Flow[[#This Row],[WSName]], WSData[#All], 4, FALSE)</f>
        <v>5</v>
      </c>
    </row>
    <row r="96" spans="1:7" x14ac:dyDescent="0.2">
      <c r="A96" t="s">
        <v>97</v>
      </c>
      <c r="B96" t="s">
        <v>49</v>
      </c>
      <c r="C96">
        <v>1.8</v>
      </c>
      <c r="D96">
        <v>1</v>
      </c>
      <c r="E96">
        <v>3</v>
      </c>
      <c r="F96" s="32">
        <f>VLOOKUP(Flow[[#This Row],[WSName]], WSData[#All], 4, FALSE)*Flow[[#This Row],[LoadSize]]*FLOOR(24*7*60*VLOOKUP(Flow[[#This Row],[WSName]], WSData[#All], 3, FALSE)/Flow[[#This Row],[RPT]], 1)</f>
        <v>13692</v>
      </c>
      <c r="G96" s="32">
        <f>Flow[[#This Row],[LoadSize]]*VLOOKUP(Flow[[#This Row],[WSName]], WSData[#All], 4, FALSE)</f>
        <v>3</v>
      </c>
    </row>
    <row r="97" spans="1:7" x14ac:dyDescent="0.2">
      <c r="A97" t="s">
        <v>189</v>
      </c>
      <c r="B97" t="s">
        <v>49</v>
      </c>
      <c r="C97">
        <v>2.2000000000000002</v>
      </c>
      <c r="D97">
        <v>1</v>
      </c>
      <c r="E97">
        <v>3</v>
      </c>
      <c r="F97" s="32">
        <f>VLOOKUP(Flow[[#This Row],[WSName]], WSData[#All], 4, FALSE)*Flow[[#This Row],[LoadSize]]*FLOOR(24*7*60*VLOOKUP(Flow[[#This Row],[WSName]], WSData[#All], 3, FALSE)/Flow[[#This Row],[RPT]], 1)</f>
        <v>11202</v>
      </c>
      <c r="G97" s="32">
        <f>Flow[[#This Row],[LoadSize]]*VLOOKUP(Flow[[#This Row],[WSName]], WSData[#All], 4, FALSE)</f>
        <v>3</v>
      </c>
    </row>
    <row r="98" spans="1:7" x14ac:dyDescent="0.2">
      <c r="A98" t="s">
        <v>197</v>
      </c>
      <c r="B98" t="s">
        <v>49</v>
      </c>
      <c r="C98">
        <v>8</v>
      </c>
      <c r="D98">
        <v>1</v>
      </c>
      <c r="E98">
        <v>3</v>
      </c>
      <c r="F98" s="32">
        <f>VLOOKUP(Flow[[#This Row],[WSName]], WSData[#All], 4, FALSE)*Flow[[#This Row],[LoadSize]]*FLOOR(24*7*60*VLOOKUP(Flow[[#This Row],[WSName]], WSData[#All], 3, FALSE)/Flow[[#This Row],[RPT]], 1)</f>
        <v>3078</v>
      </c>
      <c r="G98" s="32">
        <f>Flow[[#This Row],[LoadSize]]*VLOOKUP(Flow[[#This Row],[WSName]], WSData[#All], 4, FALSE)</f>
        <v>3</v>
      </c>
    </row>
    <row r="99" spans="1:7" x14ac:dyDescent="0.2">
      <c r="A99" t="s">
        <v>220</v>
      </c>
      <c r="B99" t="s">
        <v>49</v>
      </c>
      <c r="C99">
        <v>1.9</v>
      </c>
      <c r="D99">
        <v>1</v>
      </c>
      <c r="E99">
        <v>3</v>
      </c>
      <c r="F99" s="32">
        <f>VLOOKUP(Flow[[#This Row],[WSName]], WSData[#All], 4, FALSE)*Flow[[#This Row],[LoadSize]]*FLOOR(24*7*60*VLOOKUP(Flow[[#This Row],[WSName]], WSData[#All], 3, FALSE)/Flow[[#This Row],[RPT]], 1)</f>
        <v>12969</v>
      </c>
      <c r="G99" s="32">
        <f>Flow[[#This Row],[LoadSize]]*VLOOKUP(Flow[[#This Row],[WSName]], WSData[#All], 4, FALSE)</f>
        <v>3</v>
      </c>
    </row>
    <row r="100" spans="1:7" x14ac:dyDescent="0.2">
      <c r="A100" t="s">
        <v>159</v>
      </c>
      <c r="B100" t="s">
        <v>48</v>
      </c>
      <c r="C100">
        <v>20.100000000000001</v>
      </c>
      <c r="D100">
        <v>1</v>
      </c>
      <c r="E100">
        <v>6</v>
      </c>
      <c r="F100" s="32">
        <f>VLOOKUP(Flow[[#This Row],[WSName]], WSData[#All], 4, FALSE)*Flow[[#This Row],[LoadSize]]*FLOOR(24*7*60*VLOOKUP(Flow[[#This Row],[WSName]], WSData[#All], 3, FALSE)/Flow[[#This Row],[RPT]], 1)</f>
        <v>2466</v>
      </c>
      <c r="G100" s="32">
        <f>Flow[[#This Row],[LoadSize]]*VLOOKUP(Flow[[#This Row],[WSName]], WSData[#All], 4, FALSE)</f>
        <v>6</v>
      </c>
    </row>
    <row r="101" spans="1:7" x14ac:dyDescent="0.2">
      <c r="A101" t="s">
        <v>251</v>
      </c>
      <c r="B101" t="s">
        <v>29</v>
      </c>
      <c r="C101">
        <v>8.4</v>
      </c>
      <c r="D101">
        <v>1</v>
      </c>
      <c r="E101">
        <v>3</v>
      </c>
      <c r="F101" s="32">
        <f>VLOOKUP(Flow[[#This Row],[WSName]], WSData[#All], 4, FALSE)*Flow[[#This Row],[LoadSize]]*FLOOR(24*7*60*VLOOKUP(Flow[[#This Row],[WSName]], WSData[#All], 3, FALSE)/Flow[[#This Row],[RPT]], 1)</f>
        <v>2700</v>
      </c>
      <c r="G101" s="32">
        <f>Flow[[#This Row],[LoadSize]]*VLOOKUP(Flow[[#This Row],[WSName]], WSData[#All], 4, FALSE)</f>
        <v>3</v>
      </c>
    </row>
    <row r="102" spans="1:7" x14ac:dyDescent="0.2">
      <c r="A102" t="s">
        <v>92</v>
      </c>
      <c r="B102" t="s">
        <v>33</v>
      </c>
      <c r="C102">
        <v>2.6</v>
      </c>
      <c r="D102">
        <v>1</v>
      </c>
      <c r="E102">
        <v>4</v>
      </c>
      <c r="F102" s="32">
        <f>VLOOKUP(Flow[[#This Row],[WSName]], WSData[#All], 4, FALSE)*Flow[[#This Row],[LoadSize]]*FLOOR(24*7*60*VLOOKUP(Flow[[#This Row],[WSName]], WSData[#All], 3, FALSE)/Flow[[#This Row],[RPT]], 1)</f>
        <v>10700</v>
      </c>
      <c r="G102" s="32">
        <f>Flow[[#This Row],[LoadSize]]*VLOOKUP(Flow[[#This Row],[WSName]], WSData[#All], 4, FALSE)</f>
        <v>4</v>
      </c>
    </row>
    <row r="103" spans="1:7" x14ac:dyDescent="0.2">
      <c r="A103" t="s">
        <v>75</v>
      </c>
      <c r="B103" t="s">
        <v>52</v>
      </c>
      <c r="C103">
        <v>3.5</v>
      </c>
      <c r="D103">
        <v>1</v>
      </c>
      <c r="E103">
        <v>6</v>
      </c>
      <c r="F103" s="32">
        <f>VLOOKUP(Flow[[#This Row],[WSName]], WSData[#All], 4, FALSE)*Flow[[#This Row],[LoadSize]]*FLOOR(24*7*60*VLOOKUP(Flow[[#This Row],[WSName]], WSData[#All], 3, FALSE)/Flow[[#This Row],[RPT]], 1)</f>
        <v>14856</v>
      </c>
      <c r="G103" s="32">
        <f>Flow[[#This Row],[LoadSize]]*VLOOKUP(Flow[[#This Row],[WSName]], WSData[#All], 4, FALSE)</f>
        <v>6</v>
      </c>
    </row>
    <row r="104" spans="1:7" x14ac:dyDescent="0.2">
      <c r="A104" t="s">
        <v>145</v>
      </c>
      <c r="B104" t="s">
        <v>52</v>
      </c>
      <c r="C104">
        <v>5.0999999999999996</v>
      </c>
      <c r="D104">
        <v>1</v>
      </c>
      <c r="E104">
        <v>6</v>
      </c>
      <c r="F104" s="32">
        <f>VLOOKUP(Flow[[#This Row],[WSName]], WSData[#All], 4, FALSE)*Flow[[#This Row],[LoadSize]]*FLOOR(24*7*60*VLOOKUP(Flow[[#This Row],[WSName]], WSData[#All], 3, FALSE)/Flow[[#This Row],[RPT]], 1)</f>
        <v>10194</v>
      </c>
      <c r="G104" s="32">
        <f>Flow[[#This Row],[LoadSize]]*VLOOKUP(Flow[[#This Row],[WSName]], WSData[#All], 4, FALSE)</f>
        <v>6</v>
      </c>
    </row>
    <row r="105" spans="1:7" x14ac:dyDescent="0.2">
      <c r="A105" t="s">
        <v>214</v>
      </c>
      <c r="B105" t="s">
        <v>52</v>
      </c>
      <c r="C105">
        <v>3.2</v>
      </c>
      <c r="D105">
        <v>1</v>
      </c>
      <c r="E105">
        <v>6</v>
      </c>
      <c r="F105" s="32">
        <f>VLOOKUP(Flow[[#This Row],[WSName]], WSData[#All], 4, FALSE)*Flow[[#This Row],[LoadSize]]*FLOOR(24*7*60*VLOOKUP(Flow[[#This Row],[WSName]], WSData[#All], 3, FALSE)/Flow[[#This Row],[RPT]], 1)</f>
        <v>16254</v>
      </c>
      <c r="G105" s="32">
        <f>Flow[[#This Row],[LoadSize]]*VLOOKUP(Flow[[#This Row],[WSName]], WSData[#All], 4, FALSE)</f>
        <v>6</v>
      </c>
    </row>
    <row r="106" spans="1:7" x14ac:dyDescent="0.2">
      <c r="A106" t="s">
        <v>157</v>
      </c>
      <c r="B106" t="s">
        <v>26</v>
      </c>
      <c r="C106">
        <v>4.0999999999999996</v>
      </c>
      <c r="D106">
        <v>1</v>
      </c>
      <c r="E106">
        <v>3</v>
      </c>
      <c r="F106" s="32">
        <f>VLOOKUP(Flow[[#This Row],[WSName]], WSData[#All], 4, FALSE)*Flow[[#This Row],[LoadSize]]*FLOOR(24*7*60*VLOOKUP(Flow[[#This Row],[WSName]], WSData[#All], 3, FALSE)/Flow[[#This Row],[RPT]], 1)</f>
        <v>6084</v>
      </c>
      <c r="G106" s="32">
        <f>Flow[[#This Row],[LoadSize]]*VLOOKUP(Flow[[#This Row],[WSName]], WSData[#All], 4, FALSE)</f>
        <v>3</v>
      </c>
    </row>
    <row r="107" spans="1:7" x14ac:dyDescent="0.2">
      <c r="A107" t="s">
        <v>190</v>
      </c>
      <c r="B107" t="s">
        <v>26</v>
      </c>
      <c r="C107">
        <v>1.8</v>
      </c>
      <c r="D107">
        <v>1</v>
      </c>
      <c r="E107">
        <v>3</v>
      </c>
      <c r="F107" s="32">
        <f>VLOOKUP(Flow[[#This Row],[WSName]], WSData[#All], 4, FALSE)*Flow[[#This Row],[LoadSize]]*FLOOR(24*7*60*VLOOKUP(Flow[[#This Row],[WSName]], WSData[#All], 3, FALSE)/Flow[[#This Row],[RPT]], 1)</f>
        <v>13860</v>
      </c>
      <c r="G107" s="32">
        <f>Flow[[#This Row],[LoadSize]]*VLOOKUP(Flow[[#This Row],[WSName]], WSData[#All], 4, FALSE)</f>
        <v>3</v>
      </c>
    </row>
    <row r="108" spans="1:7" x14ac:dyDescent="0.2">
      <c r="A108" t="s">
        <v>96</v>
      </c>
      <c r="B108" t="s">
        <v>54</v>
      </c>
      <c r="C108">
        <v>0.6</v>
      </c>
      <c r="D108">
        <v>1</v>
      </c>
      <c r="E108">
        <v>1</v>
      </c>
      <c r="F108" s="32">
        <f>VLOOKUP(Flow[[#This Row],[WSName]], WSData[#All], 4, FALSE)*Flow[[#This Row],[LoadSize]]*FLOOR(24*7*60*VLOOKUP(Flow[[#This Row],[WSName]], WSData[#All], 3, FALSE)/Flow[[#This Row],[RPT]], 1)</f>
        <v>12096</v>
      </c>
      <c r="G108" s="32">
        <f>Flow[[#This Row],[LoadSize]]*VLOOKUP(Flow[[#This Row],[WSName]], WSData[#All], 4, FALSE)</f>
        <v>1</v>
      </c>
    </row>
    <row r="109" spans="1:7" x14ac:dyDescent="0.2">
      <c r="A109" t="s">
        <v>209</v>
      </c>
      <c r="B109" t="s">
        <v>46</v>
      </c>
      <c r="C109">
        <v>2.2000000000000002</v>
      </c>
      <c r="D109">
        <v>1</v>
      </c>
      <c r="E109">
        <v>2</v>
      </c>
      <c r="F109" s="32">
        <f>VLOOKUP(Flow[[#This Row],[WSName]], WSData[#All], 4, FALSE)*Flow[[#This Row],[LoadSize]]*FLOOR(24*7*60*VLOOKUP(Flow[[#This Row],[WSName]], WSData[#All], 3, FALSE)/Flow[[#This Row],[RPT]], 1)</f>
        <v>8018</v>
      </c>
      <c r="G109" s="32">
        <f>Flow[[#This Row],[LoadSize]]*VLOOKUP(Flow[[#This Row],[WSName]], WSData[#All], 4, FALSE)</f>
        <v>2</v>
      </c>
    </row>
    <row r="110" spans="1:7" x14ac:dyDescent="0.2">
      <c r="A110" t="s">
        <v>248</v>
      </c>
      <c r="B110" t="s">
        <v>46</v>
      </c>
      <c r="C110">
        <v>1.8</v>
      </c>
      <c r="D110">
        <v>1</v>
      </c>
      <c r="E110">
        <v>2</v>
      </c>
      <c r="F110" s="32">
        <f>VLOOKUP(Flow[[#This Row],[WSName]], WSData[#All], 4, FALSE)*Flow[[#This Row],[LoadSize]]*FLOOR(24*7*60*VLOOKUP(Flow[[#This Row],[WSName]], WSData[#All], 3, FALSE)/Flow[[#This Row],[RPT]], 1)</f>
        <v>9800</v>
      </c>
      <c r="G110" s="32">
        <f>Flow[[#This Row],[LoadSize]]*VLOOKUP(Flow[[#This Row],[WSName]], WSData[#All], 4, FALSE)</f>
        <v>2</v>
      </c>
    </row>
    <row r="111" spans="1:7" x14ac:dyDescent="0.2">
      <c r="A111" t="s">
        <v>138</v>
      </c>
      <c r="B111" t="s">
        <v>72</v>
      </c>
      <c r="C111">
        <v>3.8</v>
      </c>
      <c r="D111">
        <v>1</v>
      </c>
      <c r="E111">
        <v>16</v>
      </c>
      <c r="F111" s="32">
        <f>VLOOKUP(Flow[[#This Row],[WSName]], WSData[#All], 4, FALSE)*Flow[[#This Row],[LoadSize]]*FLOOR(24*7*60*VLOOKUP(Flow[[#This Row],[WSName]], WSData[#All], 3, FALSE)/Flow[[#This Row],[RPT]], 1)</f>
        <v>33952</v>
      </c>
      <c r="G111" s="32">
        <f>Flow[[#This Row],[LoadSize]]*VLOOKUP(Flow[[#This Row],[WSName]], WSData[#All], 4, FALSE)</f>
        <v>16</v>
      </c>
    </row>
    <row r="112" spans="1:7" x14ac:dyDescent="0.2">
      <c r="A112" t="s">
        <v>81</v>
      </c>
      <c r="B112" t="s">
        <v>67</v>
      </c>
      <c r="C112">
        <v>45.7</v>
      </c>
      <c r="D112">
        <v>100</v>
      </c>
      <c r="E112">
        <v>1</v>
      </c>
      <c r="F112" s="32">
        <f>VLOOKUP(Flow[[#This Row],[WSName]], WSData[#All], 4, FALSE)*Flow[[#This Row],[LoadSize]]*FLOOR(24*7*60*VLOOKUP(Flow[[#This Row],[WSName]], WSData[#All], 3, FALSE)/Flow[[#This Row],[RPT]], 1)</f>
        <v>16100</v>
      </c>
      <c r="G112" s="32">
        <f>Flow[[#This Row],[LoadSize]]*VLOOKUP(Flow[[#This Row],[WSName]], WSData[#All], 4, FALSE)</f>
        <v>100</v>
      </c>
    </row>
    <row r="113" spans="1:7" x14ac:dyDescent="0.2">
      <c r="A113" t="s">
        <v>196</v>
      </c>
      <c r="B113" t="s">
        <v>67</v>
      </c>
      <c r="C113">
        <v>23.7</v>
      </c>
      <c r="D113">
        <v>100</v>
      </c>
      <c r="E113">
        <v>1</v>
      </c>
      <c r="F113" s="32">
        <f>VLOOKUP(Flow[[#This Row],[WSName]], WSData[#All], 4, FALSE)*Flow[[#This Row],[LoadSize]]*FLOOR(24*7*60*VLOOKUP(Flow[[#This Row],[WSName]], WSData[#All], 3, FALSE)/Flow[[#This Row],[RPT]], 1)</f>
        <v>31000</v>
      </c>
      <c r="G113" s="32">
        <f>Flow[[#This Row],[LoadSize]]*VLOOKUP(Flow[[#This Row],[WSName]], WSData[#All], 4, FALSE)</f>
        <v>100</v>
      </c>
    </row>
    <row r="114" spans="1:7" x14ac:dyDescent="0.2">
      <c r="A114" t="s">
        <v>247</v>
      </c>
      <c r="B114" t="s">
        <v>67</v>
      </c>
      <c r="C114">
        <v>26.7</v>
      </c>
      <c r="D114">
        <v>100</v>
      </c>
      <c r="E114">
        <v>1</v>
      </c>
      <c r="F114" s="32">
        <f>VLOOKUP(Flow[[#This Row],[WSName]], WSData[#All], 4, FALSE)*Flow[[#This Row],[LoadSize]]*FLOOR(24*7*60*VLOOKUP(Flow[[#This Row],[WSName]], WSData[#All], 3, FALSE)/Flow[[#This Row],[RPT]], 1)</f>
        <v>27500</v>
      </c>
      <c r="G114" s="32">
        <f>Flow[[#This Row],[LoadSize]]*VLOOKUP(Flow[[#This Row],[WSName]], WSData[#All], 4, FALSE)</f>
        <v>100</v>
      </c>
    </row>
    <row r="115" spans="1:7" x14ac:dyDescent="0.2">
      <c r="A115" t="s">
        <v>273</v>
      </c>
      <c r="B115" t="s">
        <v>67</v>
      </c>
      <c r="C115">
        <v>19.399999999999999</v>
      </c>
      <c r="D115">
        <v>100</v>
      </c>
      <c r="E115">
        <v>1</v>
      </c>
      <c r="F115" s="32">
        <f>VLOOKUP(Flow[[#This Row],[WSName]], WSData[#All], 4, FALSE)*Flow[[#This Row],[LoadSize]]*FLOOR(24*7*60*VLOOKUP(Flow[[#This Row],[WSName]], WSData[#All], 3, FALSE)/Flow[[#This Row],[RPT]], 1)</f>
        <v>37900</v>
      </c>
      <c r="G115" s="32">
        <f>Flow[[#This Row],[LoadSize]]*VLOOKUP(Flow[[#This Row],[WSName]], WSData[#All], 4, FALSE)</f>
        <v>100</v>
      </c>
    </row>
    <row r="116" spans="1:7" x14ac:dyDescent="0.2">
      <c r="A116" t="s">
        <v>156</v>
      </c>
      <c r="B116" t="s">
        <v>28</v>
      </c>
      <c r="C116">
        <v>1.2</v>
      </c>
      <c r="D116">
        <v>1</v>
      </c>
      <c r="E116">
        <v>3</v>
      </c>
      <c r="F116" s="32">
        <f>VLOOKUP(Flow[[#This Row],[WSName]], WSData[#All], 4, FALSE)*Flow[[#This Row],[LoadSize]]*FLOOR(24*7*60*VLOOKUP(Flow[[#This Row],[WSName]], WSData[#All], 3, FALSE)/Flow[[#This Row],[RPT]], 1)</f>
        <v>20664</v>
      </c>
      <c r="G116" s="32">
        <f>Flow[[#This Row],[LoadSize]]*VLOOKUP(Flow[[#This Row],[WSName]], WSData[#All], 4, FALSE)</f>
        <v>3</v>
      </c>
    </row>
    <row r="117" spans="1:7" x14ac:dyDescent="0.2">
      <c r="A117" t="s">
        <v>232</v>
      </c>
      <c r="B117" t="s">
        <v>28</v>
      </c>
      <c r="C117">
        <v>1.2</v>
      </c>
      <c r="D117">
        <v>1</v>
      </c>
      <c r="E117">
        <v>3</v>
      </c>
      <c r="F117" s="32">
        <f>VLOOKUP(Flow[[#This Row],[WSName]], WSData[#All], 4, FALSE)*Flow[[#This Row],[LoadSize]]*FLOOR(24*7*60*VLOOKUP(Flow[[#This Row],[WSName]], WSData[#All], 3, FALSE)/Flow[[#This Row],[RPT]], 1)</f>
        <v>20664</v>
      </c>
      <c r="G117" s="32">
        <f>Flow[[#This Row],[LoadSize]]*VLOOKUP(Flow[[#This Row],[WSName]], WSData[#All], 4, FALSE)</f>
        <v>3</v>
      </c>
    </row>
    <row r="118" spans="1:7" x14ac:dyDescent="0.2">
      <c r="A118" t="s">
        <v>245</v>
      </c>
      <c r="B118" t="s">
        <v>28</v>
      </c>
      <c r="C118">
        <v>1</v>
      </c>
      <c r="D118">
        <v>1</v>
      </c>
      <c r="E118">
        <v>3</v>
      </c>
      <c r="F118" s="32">
        <f>VLOOKUP(Flow[[#This Row],[WSName]], WSData[#All], 4, FALSE)*Flow[[#This Row],[LoadSize]]*FLOOR(24*7*60*VLOOKUP(Flow[[#This Row],[WSName]], WSData[#All], 3, FALSE)/Flow[[#This Row],[RPT]], 1)</f>
        <v>24795</v>
      </c>
      <c r="G118" s="32">
        <f>Flow[[#This Row],[LoadSize]]*VLOOKUP(Flow[[#This Row],[WSName]], WSData[#All], 4, FALSE)</f>
        <v>3</v>
      </c>
    </row>
    <row r="119" spans="1:7" x14ac:dyDescent="0.2">
      <c r="A119" t="s">
        <v>259</v>
      </c>
      <c r="B119" t="s">
        <v>28</v>
      </c>
      <c r="C119">
        <v>1.4</v>
      </c>
      <c r="D119">
        <v>1</v>
      </c>
      <c r="E119">
        <v>3</v>
      </c>
      <c r="F119" s="32">
        <f>VLOOKUP(Flow[[#This Row],[WSName]], WSData[#All], 4, FALSE)*Flow[[#This Row],[LoadSize]]*FLOOR(24*7*60*VLOOKUP(Flow[[#This Row],[WSName]], WSData[#All], 3, FALSE)/Flow[[#This Row],[RPT]], 1)</f>
        <v>17712</v>
      </c>
      <c r="G119" s="32">
        <f>Flow[[#This Row],[LoadSize]]*VLOOKUP(Flow[[#This Row],[WSName]], WSData[#All], 4, FALSE)</f>
        <v>3</v>
      </c>
    </row>
    <row r="120" spans="1:7" x14ac:dyDescent="0.2">
      <c r="A120" t="s">
        <v>120</v>
      </c>
      <c r="B120" t="s">
        <v>27</v>
      </c>
      <c r="C120">
        <v>2.4</v>
      </c>
      <c r="D120">
        <v>1</v>
      </c>
      <c r="E120">
        <v>3</v>
      </c>
      <c r="F120" s="32">
        <f>VLOOKUP(Flow[[#This Row],[WSName]], WSData[#All], 4, FALSE)*Flow[[#This Row],[LoadSize]]*FLOOR(24*7*60*VLOOKUP(Flow[[#This Row],[WSName]], WSData[#All], 3, FALSE)/Flow[[#This Row],[RPT]], 1)</f>
        <v>10206</v>
      </c>
      <c r="G120" s="32">
        <f>Flow[[#This Row],[LoadSize]]*VLOOKUP(Flow[[#This Row],[WSName]], WSData[#All], 4, FALSE)</f>
        <v>3</v>
      </c>
    </row>
    <row r="121" spans="1:7" x14ac:dyDescent="0.2">
      <c r="A121" t="s">
        <v>128</v>
      </c>
      <c r="B121" t="s">
        <v>35</v>
      </c>
      <c r="C121">
        <v>553.70000000000005</v>
      </c>
      <c r="D121">
        <v>300</v>
      </c>
      <c r="E121">
        <v>1</v>
      </c>
      <c r="F121" s="32">
        <f>VLOOKUP(Flow[[#This Row],[WSName]], WSData[#All], 4, FALSE)*Flow[[#This Row],[LoadSize]]*FLOOR(24*7*60*VLOOKUP(Flow[[#This Row],[WSName]], WSData[#All], 3, FALSE)/Flow[[#This Row],[RPT]], 1)</f>
        <v>3600</v>
      </c>
      <c r="G121" s="32">
        <f>Flow[[#This Row],[LoadSize]]*VLOOKUP(Flow[[#This Row],[WSName]], WSData[#All], 4, FALSE)</f>
        <v>300</v>
      </c>
    </row>
    <row r="122" spans="1:7" x14ac:dyDescent="0.2">
      <c r="A122" t="s">
        <v>133</v>
      </c>
      <c r="B122" t="s">
        <v>36</v>
      </c>
      <c r="C122">
        <v>277.5</v>
      </c>
      <c r="D122">
        <v>300</v>
      </c>
      <c r="E122">
        <v>1</v>
      </c>
      <c r="F122" s="32">
        <f>VLOOKUP(Flow[[#This Row],[WSName]], WSData[#All], 4, FALSE)*Flow[[#This Row],[LoadSize]]*FLOOR(24*7*60*VLOOKUP(Flow[[#This Row],[WSName]], WSData[#All], 3, FALSE)/Flow[[#This Row],[RPT]], 1)</f>
        <v>7800</v>
      </c>
      <c r="G122" s="32">
        <f>Flow[[#This Row],[LoadSize]]*VLOOKUP(Flow[[#This Row],[WSName]], WSData[#All], 4, FALSE)</f>
        <v>300</v>
      </c>
    </row>
    <row r="123" spans="1:7" x14ac:dyDescent="0.2">
      <c r="A123" t="s">
        <v>158</v>
      </c>
      <c r="B123" t="s">
        <v>36</v>
      </c>
      <c r="C123">
        <v>202.3</v>
      </c>
      <c r="D123">
        <v>300</v>
      </c>
      <c r="E123">
        <v>1</v>
      </c>
      <c r="F123" s="32">
        <f>VLOOKUP(Flow[[#This Row],[WSName]], WSData[#All], 4, FALSE)*Flow[[#This Row],[LoadSize]]*FLOOR(24*7*60*VLOOKUP(Flow[[#This Row],[WSName]], WSData[#All], 3, FALSE)/Flow[[#This Row],[RPT]], 1)</f>
        <v>10800</v>
      </c>
      <c r="G123" s="32">
        <f>Flow[[#This Row],[LoadSize]]*VLOOKUP(Flow[[#This Row],[WSName]], WSData[#All], 4, FALSE)</f>
        <v>300</v>
      </c>
    </row>
    <row r="124" spans="1:7" x14ac:dyDescent="0.2">
      <c r="A124" t="s">
        <v>191</v>
      </c>
      <c r="B124" t="s">
        <v>65</v>
      </c>
      <c r="C124">
        <v>1.9</v>
      </c>
      <c r="D124">
        <v>1</v>
      </c>
      <c r="E124">
        <v>1</v>
      </c>
      <c r="F124" s="32">
        <f>VLOOKUP(Flow[[#This Row],[WSName]], WSData[#All], 4, FALSE)*Flow[[#This Row],[LoadSize]]*FLOOR(24*7*60*VLOOKUP(Flow[[#This Row],[WSName]], WSData[#All], 3, FALSE)/Flow[[#This Row],[RPT]], 1)</f>
        <v>4403</v>
      </c>
      <c r="G124" s="32">
        <f>Flow[[#This Row],[LoadSize]]*VLOOKUP(Flow[[#This Row],[WSName]], WSData[#All], 4, FALSE)</f>
        <v>1</v>
      </c>
    </row>
    <row r="125" spans="1:7" x14ac:dyDescent="0.2">
      <c r="A125" t="s">
        <v>165</v>
      </c>
      <c r="B125" t="s">
        <v>38</v>
      </c>
      <c r="C125">
        <v>160.19999999999999</v>
      </c>
      <c r="D125">
        <v>250</v>
      </c>
      <c r="E125">
        <v>1</v>
      </c>
      <c r="F125" s="32">
        <f>VLOOKUP(Flow[[#This Row],[WSName]], WSData[#All], 4, FALSE)*Flow[[#This Row],[LoadSize]]*FLOOR(24*7*60*VLOOKUP(Flow[[#This Row],[WSName]], WSData[#All], 3, FALSE)/Flow[[#This Row],[RPT]], 1)</f>
        <v>12250</v>
      </c>
      <c r="G125" s="32">
        <f>Flow[[#This Row],[LoadSize]]*VLOOKUP(Flow[[#This Row],[WSName]], WSData[#All], 4, FALSE)</f>
        <v>250</v>
      </c>
    </row>
    <row r="126" spans="1:7" x14ac:dyDescent="0.2">
      <c r="A126" t="s">
        <v>112</v>
      </c>
      <c r="B126" t="s">
        <v>74</v>
      </c>
      <c r="C126">
        <v>14.4</v>
      </c>
      <c r="D126">
        <v>100</v>
      </c>
      <c r="E126">
        <v>1</v>
      </c>
      <c r="F126" s="32">
        <f>VLOOKUP(Flow[[#This Row],[WSName]], WSData[#All], 4, FALSE)*Flow[[#This Row],[LoadSize]]*FLOOR(24*7*60*VLOOKUP(Flow[[#This Row],[WSName]], WSData[#All], 3, FALSE)/Flow[[#This Row],[RPT]], 1)</f>
        <v>45500</v>
      </c>
      <c r="G126" s="32">
        <f>Flow[[#This Row],[LoadSize]]*VLOOKUP(Flow[[#This Row],[WSName]], WSData[#All], 4, FALSE)</f>
        <v>100</v>
      </c>
    </row>
    <row r="127" spans="1:7" x14ac:dyDescent="0.2">
      <c r="A127" t="s">
        <v>221</v>
      </c>
      <c r="B127" t="s">
        <v>74</v>
      </c>
      <c r="C127">
        <v>18.100000000000001</v>
      </c>
      <c r="D127">
        <v>100</v>
      </c>
      <c r="E127">
        <v>1</v>
      </c>
      <c r="F127" s="32">
        <f>VLOOKUP(Flow[[#This Row],[WSName]], WSData[#All], 4, FALSE)*Flow[[#This Row],[LoadSize]]*FLOOR(24*7*60*VLOOKUP(Flow[[#This Row],[WSName]], WSData[#All], 3, FALSE)/Flow[[#This Row],[RPT]], 1)</f>
        <v>36100</v>
      </c>
      <c r="G127" s="32">
        <f>Flow[[#This Row],[LoadSize]]*VLOOKUP(Flow[[#This Row],[WSName]], WSData[#All], 4, FALSE)</f>
        <v>100</v>
      </c>
    </row>
    <row r="128" spans="1:7" x14ac:dyDescent="0.2">
      <c r="A128" t="s">
        <v>146</v>
      </c>
      <c r="B128" t="s">
        <v>62</v>
      </c>
      <c r="C128">
        <v>0.2</v>
      </c>
      <c r="D128">
        <v>1</v>
      </c>
      <c r="E128">
        <v>1</v>
      </c>
      <c r="F128" s="32">
        <f>VLOOKUP(Flow[[#This Row],[WSName]], WSData[#All], 4, FALSE)*Flow[[#This Row],[LoadSize]]*FLOOR(24*7*60*VLOOKUP(Flow[[#This Row],[WSName]], WSData[#All], 3, FALSE)/Flow[[#This Row],[RPT]], 1)</f>
        <v>42840</v>
      </c>
      <c r="G128" s="32">
        <f>Flow[[#This Row],[LoadSize]]*VLOOKUP(Flow[[#This Row],[WSName]], WSData[#All], 4, FALSE)</f>
        <v>1</v>
      </c>
    </row>
    <row r="129" spans="1:7" x14ac:dyDescent="0.2">
      <c r="A129" t="s">
        <v>263</v>
      </c>
      <c r="B129" t="s">
        <v>41</v>
      </c>
      <c r="C129">
        <v>276.10000000000002</v>
      </c>
      <c r="D129">
        <v>300</v>
      </c>
      <c r="E129">
        <v>1</v>
      </c>
      <c r="F129" s="32">
        <f>VLOOKUP(Flow[[#This Row],[WSName]], WSData[#All], 4, FALSE)*Flow[[#This Row],[LoadSize]]*FLOOR(24*7*60*VLOOKUP(Flow[[#This Row],[WSName]], WSData[#All], 3, FALSE)/Flow[[#This Row],[RPT]], 1)</f>
        <v>8700</v>
      </c>
      <c r="G129" s="32">
        <f>Flow[[#This Row],[LoadSize]]*VLOOKUP(Flow[[#This Row],[WSName]], WSData[#All], 4, FALSE)</f>
        <v>300</v>
      </c>
    </row>
    <row r="130" spans="1:7" x14ac:dyDescent="0.2">
      <c r="A130" t="s">
        <v>95</v>
      </c>
      <c r="B130" t="s">
        <v>25</v>
      </c>
      <c r="C130">
        <v>8</v>
      </c>
      <c r="D130">
        <v>1</v>
      </c>
      <c r="E130">
        <v>3</v>
      </c>
      <c r="F130" s="32">
        <f>VLOOKUP(Flow[[#This Row],[WSName]], WSData[#All], 4, FALSE)*Flow[[#This Row],[LoadSize]]*FLOOR(24*7*60*VLOOKUP(Flow[[#This Row],[WSName]], WSData[#All], 3, FALSE)/Flow[[#This Row],[RPT]], 1)</f>
        <v>2772</v>
      </c>
      <c r="G130" s="32">
        <f>Flow[[#This Row],[LoadSize]]*VLOOKUP(Flow[[#This Row],[WSName]], WSData[#All], 4, FALSE)</f>
        <v>3</v>
      </c>
    </row>
    <row r="131" spans="1:7" x14ac:dyDescent="0.2">
      <c r="A131" t="s">
        <v>105</v>
      </c>
      <c r="B131" t="s">
        <v>25</v>
      </c>
      <c r="C131">
        <v>2.8</v>
      </c>
      <c r="D131">
        <v>1</v>
      </c>
      <c r="E131">
        <v>3</v>
      </c>
      <c r="F131" s="32">
        <f>VLOOKUP(Flow[[#This Row],[WSName]], WSData[#All], 4, FALSE)*Flow[[#This Row],[LoadSize]]*FLOOR(24*7*60*VLOOKUP(Flow[[#This Row],[WSName]], WSData[#All], 3, FALSE)/Flow[[#This Row],[RPT]], 1)</f>
        <v>7920</v>
      </c>
      <c r="G131" s="32">
        <f>Flow[[#This Row],[LoadSize]]*VLOOKUP(Flow[[#This Row],[WSName]], WSData[#All], 4, FALSE)</f>
        <v>3</v>
      </c>
    </row>
    <row r="132" spans="1:7" x14ac:dyDescent="0.2">
      <c r="A132" t="s">
        <v>152</v>
      </c>
      <c r="B132" t="s">
        <v>25</v>
      </c>
      <c r="C132">
        <v>6</v>
      </c>
      <c r="D132">
        <v>1</v>
      </c>
      <c r="E132">
        <v>3</v>
      </c>
      <c r="F132" s="32">
        <f>VLOOKUP(Flow[[#This Row],[WSName]], WSData[#All], 4, FALSE)*Flow[[#This Row],[LoadSize]]*FLOOR(24*7*60*VLOOKUP(Flow[[#This Row],[WSName]], WSData[#All], 3, FALSE)/Flow[[#This Row],[RPT]], 1)</f>
        <v>3696</v>
      </c>
      <c r="G132" s="32">
        <f>Flow[[#This Row],[LoadSize]]*VLOOKUP(Flow[[#This Row],[WSName]], WSData[#All], 4, FALSE)</f>
        <v>3</v>
      </c>
    </row>
    <row r="133" spans="1:7" x14ac:dyDescent="0.2">
      <c r="A133" t="s">
        <v>216</v>
      </c>
      <c r="B133" t="s">
        <v>25</v>
      </c>
      <c r="C133">
        <v>3.6</v>
      </c>
      <c r="D133">
        <v>1</v>
      </c>
      <c r="E133">
        <v>3</v>
      </c>
      <c r="F133" s="32">
        <f>VLOOKUP(Flow[[#This Row],[WSName]], WSData[#All], 4, FALSE)*Flow[[#This Row],[LoadSize]]*FLOOR(24*7*60*VLOOKUP(Flow[[#This Row],[WSName]], WSData[#All], 3, FALSE)/Flow[[#This Row],[RPT]], 1)</f>
        <v>6159</v>
      </c>
      <c r="G133" s="32">
        <f>Flow[[#This Row],[LoadSize]]*VLOOKUP(Flow[[#This Row],[WSName]], WSData[#All], 4, FALSE)</f>
        <v>3</v>
      </c>
    </row>
    <row r="134" spans="1:7" x14ac:dyDescent="0.2">
      <c r="A134" t="s">
        <v>228</v>
      </c>
      <c r="B134" t="s">
        <v>25</v>
      </c>
      <c r="C134">
        <v>7.2</v>
      </c>
      <c r="D134">
        <v>1</v>
      </c>
      <c r="E134">
        <v>3</v>
      </c>
      <c r="F134" s="32">
        <f>VLOOKUP(Flow[[#This Row],[WSName]], WSData[#All], 4, FALSE)*Flow[[#This Row],[LoadSize]]*FLOOR(24*7*60*VLOOKUP(Flow[[#This Row],[WSName]], WSData[#All], 3, FALSE)/Flow[[#This Row],[RPT]], 1)</f>
        <v>3078</v>
      </c>
      <c r="G134" s="32">
        <f>Flow[[#This Row],[LoadSize]]*VLOOKUP(Flow[[#This Row],[WSName]], WSData[#All], 4, FALSE)</f>
        <v>3</v>
      </c>
    </row>
    <row r="135" spans="1:7" x14ac:dyDescent="0.2">
      <c r="A135" t="s">
        <v>260</v>
      </c>
      <c r="B135" t="s">
        <v>25</v>
      </c>
      <c r="C135">
        <v>5.5</v>
      </c>
      <c r="D135">
        <v>1</v>
      </c>
      <c r="E135">
        <v>3</v>
      </c>
      <c r="F135" s="32">
        <f>VLOOKUP(Flow[[#This Row],[WSName]], WSData[#All], 4, FALSE)*Flow[[#This Row],[LoadSize]]*FLOOR(24*7*60*VLOOKUP(Flow[[#This Row],[WSName]], WSData[#All], 3, FALSE)/Flow[[#This Row],[RPT]], 1)</f>
        <v>4032</v>
      </c>
      <c r="G135" s="32">
        <f>Flow[[#This Row],[LoadSize]]*VLOOKUP(Flow[[#This Row],[WSName]], WSData[#All], 4, FALSE)</f>
        <v>3</v>
      </c>
    </row>
    <row r="136" spans="1:7" x14ac:dyDescent="0.2">
      <c r="A136" t="s">
        <v>246</v>
      </c>
      <c r="B136" t="s">
        <v>34</v>
      </c>
      <c r="C136">
        <v>4</v>
      </c>
      <c r="D136">
        <v>1</v>
      </c>
      <c r="E136">
        <v>4</v>
      </c>
      <c r="F136" s="32">
        <f>VLOOKUP(Flow[[#This Row],[WSName]], WSData[#All], 4, FALSE)*Flow[[#This Row],[LoadSize]]*FLOOR(24*7*60*VLOOKUP(Flow[[#This Row],[WSName]], WSData[#All], 3, FALSE)/Flow[[#This Row],[RPT]], 1)</f>
        <v>7204</v>
      </c>
      <c r="G136" s="32">
        <f>Flow[[#This Row],[LoadSize]]*VLOOKUP(Flow[[#This Row],[WSName]], WSData[#All], 4, FALSE)</f>
        <v>4</v>
      </c>
    </row>
    <row r="137" spans="1:7" x14ac:dyDescent="0.2">
      <c r="A137" t="s">
        <v>94</v>
      </c>
      <c r="B137" t="s">
        <v>23</v>
      </c>
      <c r="C137">
        <v>0.6</v>
      </c>
      <c r="D137">
        <v>1</v>
      </c>
      <c r="E137">
        <v>1</v>
      </c>
      <c r="F137" s="32">
        <f>VLOOKUP(Flow[[#This Row],[WSName]], WSData[#All], 4, FALSE)*Flow[[#This Row],[LoadSize]]*FLOOR(24*7*60*VLOOKUP(Flow[[#This Row],[WSName]], WSData[#All], 3, FALSE)/Flow[[#This Row],[RPT]], 1)</f>
        <v>13566</v>
      </c>
      <c r="G137" s="32">
        <f>Flow[[#This Row],[LoadSize]]*VLOOKUP(Flow[[#This Row],[WSName]], WSData[#All], 4, FALSE)</f>
        <v>1</v>
      </c>
    </row>
    <row r="138" spans="1:7" x14ac:dyDescent="0.2">
      <c r="A138" t="s">
        <v>167</v>
      </c>
      <c r="B138" t="s">
        <v>23</v>
      </c>
      <c r="C138">
        <v>0.8</v>
      </c>
      <c r="D138">
        <v>1</v>
      </c>
      <c r="E138">
        <v>1</v>
      </c>
      <c r="F138" s="32">
        <f>VLOOKUP(Flow[[#This Row],[WSName]], WSData[#All], 4, FALSE)*Flow[[#This Row],[LoadSize]]*FLOOR(24*7*60*VLOOKUP(Flow[[#This Row],[WSName]], WSData[#All], 3, FALSE)/Flow[[#This Row],[RPT]], 1)</f>
        <v>10174</v>
      </c>
      <c r="G138" s="32">
        <f>Flow[[#This Row],[LoadSize]]*VLOOKUP(Flow[[#This Row],[WSName]], WSData[#All], 4, FALSE)</f>
        <v>1</v>
      </c>
    </row>
    <row r="139" spans="1:7" x14ac:dyDescent="0.2">
      <c r="A139" t="s">
        <v>177</v>
      </c>
      <c r="B139" t="s">
        <v>23</v>
      </c>
      <c r="C139">
        <v>1</v>
      </c>
      <c r="D139">
        <v>1</v>
      </c>
      <c r="E139">
        <v>1</v>
      </c>
      <c r="F139" s="32">
        <f>VLOOKUP(Flow[[#This Row],[WSName]], WSData[#All], 4, FALSE)*Flow[[#This Row],[LoadSize]]*FLOOR(24*7*60*VLOOKUP(Flow[[#This Row],[WSName]], WSData[#All], 3, FALSE)/Flow[[#This Row],[RPT]], 1)</f>
        <v>8139</v>
      </c>
      <c r="G139" s="32">
        <f>Flow[[#This Row],[LoadSize]]*VLOOKUP(Flow[[#This Row],[WSName]], WSData[#All], 4, FALSE)</f>
        <v>1</v>
      </c>
    </row>
    <row r="140" spans="1:7" x14ac:dyDescent="0.2">
      <c r="A140" t="s">
        <v>188</v>
      </c>
      <c r="B140" t="s">
        <v>23</v>
      </c>
      <c r="C140">
        <v>0.8</v>
      </c>
      <c r="D140">
        <v>1</v>
      </c>
      <c r="E140">
        <v>1</v>
      </c>
      <c r="F140" s="32">
        <f>VLOOKUP(Flow[[#This Row],[WSName]], WSData[#All], 4, FALSE)*Flow[[#This Row],[LoadSize]]*FLOOR(24*7*60*VLOOKUP(Flow[[#This Row],[WSName]], WSData[#All], 3, FALSE)/Flow[[#This Row],[RPT]], 1)</f>
        <v>10174</v>
      </c>
      <c r="G140" s="32">
        <f>Flow[[#This Row],[LoadSize]]*VLOOKUP(Flow[[#This Row],[WSName]], WSData[#All], 4, FALSE)</f>
        <v>1</v>
      </c>
    </row>
    <row r="141" spans="1:7" x14ac:dyDescent="0.2">
      <c r="A141" t="s">
        <v>118</v>
      </c>
      <c r="B141" t="s">
        <v>22</v>
      </c>
      <c r="C141">
        <v>2.6</v>
      </c>
      <c r="D141">
        <v>1</v>
      </c>
      <c r="E141">
        <v>1</v>
      </c>
      <c r="F141" s="32">
        <f>VLOOKUP(Flow[[#This Row],[WSName]], WSData[#All], 4, FALSE)*Flow[[#This Row],[LoadSize]]*FLOOR(24*7*60*VLOOKUP(Flow[[#This Row],[WSName]], WSData[#All], 3, FALSE)/Flow[[#This Row],[RPT]], 1)</f>
        <v>2944</v>
      </c>
      <c r="G141" s="32">
        <f>Flow[[#This Row],[LoadSize]]*VLOOKUP(Flow[[#This Row],[WSName]], WSData[#All], 4, FALSE)</f>
        <v>1</v>
      </c>
    </row>
    <row r="142" spans="1:7" x14ac:dyDescent="0.2">
      <c r="A142" t="s">
        <v>122</v>
      </c>
      <c r="B142" t="s">
        <v>22</v>
      </c>
      <c r="C142">
        <v>1.2</v>
      </c>
      <c r="D142">
        <v>1</v>
      </c>
      <c r="E142">
        <v>1</v>
      </c>
      <c r="F142" s="32">
        <f>VLOOKUP(Flow[[#This Row],[WSName]], WSData[#All], 4, FALSE)*Flow[[#This Row],[LoadSize]]*FLOOR(24*7*60*VLOOKUP(Flow[[#This Row],[WSName]], WSData[#All], 3, FALSE)/Flow[[#This Row],[RPT]], 1)</f>
        <v>6378</v>
      </c>
      <c r="G142" s="32">
        <f>Flow[[#This Row],[LoadSize]]*VLOOKUP(Flow[[#This Row],[WSName]], WSData[#All], 4, FALSE)</f>
        <v>1</v>
      </c>
    </row>
    <row r="143" spans="1:7" x14ac:dyDescent="0.2">
      <c r="A143" t="s">
        <v>127</v>
      </c>
      <c r="B143" t="s">
        <v>22</v>
      </c>
      <c r="C143">
        <v>1.3</v>
      </c>
      <c r="D143">
        <v>1</v>
      </c>
      <c r="E143">
        <v>1</v>
      </c>
      <c r="F143" s="32">
        <f>VLOOKUP(Flow[[#This Row],[WSName]], WSData[#All], 4, FALSE)*Flow[[#This Row],[LoadSize]]*FLOOR(24*7*60*VLOOKUP(Flow[[#This Row],[WSName]], WSData[#All], 3, FALSE)/Flow[[#This Row],[RPT]], 1)</f>
        <v>5888</v>
      </c>
      <c r="G143" s="32">
        <f>Flow[[#This Row],[LoadSize]]*VLOOKUP(Flow[[#This Row],[WSName]], WSData[#All], 4, FALSE)</f>
        <v>1</v>
      </c>
    </row>
    <row r="144" spans="1:7" x14ac:dyDescent="0.2">
      <c r="A144" t="s">
        <v>142</v>
      </c>
      <c r="B144" t="s">
        <v>22</v>
      </c>
      <c r="C144">
        <v>1.1000000000000001</v>
      </c>
      <c r="D144">
        <v>1</v>
      </c>
      <c r="E144">
        <v>1</v>
      </c>
      <c r="F144" s="32">
        <f>VLOOKUP(Flow[[#This Row],[WSName]], WSData[#All], 4, FALSE)*Flow[[#This Row],[LoadSize]]*FLOOR(24*7*60*VLOOKUP(Flow[[#This Row],[WSName]], WSData[#All], 3, FALSE)/Flow[[#This Row],[RPT]], 1)</f>
        <v>6958</v>
      </c>
      <c r="G144" s="32">
        <f>Flow[[#This Row],[LoadSize]]*VLOOKUP(Flow[[#This Row],[WSName]], WSData[#All], 4, FALSE)</f>
        <v>1</v>
      </c>
    </row>
    <row r="145" spans="1:7" x14ac:dyDescent="0.2">
      <c r="A145" t="s">
        <v>144</v>
      </c>
      <c r="B145" t="s">
        <v>22</v>
      </c>
      <c r="C145">
        <v>1</v>
      </c>
      <c r="D145">
        <v>1</v>
      </c>
      <c r="E145">
        <v>1</v>
      </c>
      <c r="F145" s="32">
        <f>VLOOKUP(Flow[[#This Row],[WSName]], WSData[#All], 4, FALSE)*Flow[[#This Row],[LoadSize]]*FLOOR(24*7*60*VLOOKUP(Flow[[#This Row],[WSName]], WSData[#All], 3, FALSE)/Flow[[#This Row],[RPT]], 1)</f>
        <v>7654</v>
      </c>
      <c r="G145" s="32">
        <f>Flow[[#This Row],[LoadSize]]*VLOOKUP(Flow[[#This Row],[WSName]], WSData[#All], 4, FALSE)</f>
        <v>1</v>
      </c>
    </row>
    <row r="146" spans="1:7" x14ac:dyDescent="0.2">
      <c r="A146" t="s">
        <v>173</v>
      </c>
      <c r="B146" t="s">
        <v>22</v>
      </c>
      <c r="C146">
        <v>1.2</v>
      </c>
      <c r="D146">
        <v>1</v>
      </c>
      <c r="E146">
        <v>1</v>
      </c>
      <c r="F146" s="32">
        <f>VLOOKUP(Flow[[#This Row],[WSName]], WSData[#All], 4, FALSE)*Flow[[#This Row],[LoadSize]]*FLOOR(24*7*60*VLOOKUP(Flow[[#This Row],[WSName]], WSData[#All], 3, FALSE)/Flow[[#This Row],[RPT]], 1)</f>
        <v>6378</v>
      </c>
      <c r="G146" s="32">
        <f>Flow[[#This Row],[LoadSize]]*VLOOKUP(Flow[[#This Row],[WSName]], WSData[#All], 4, FALSE)</f>
        <v>1</v>
      </c>
    </row>
    <row r="147" spans="1:7" x14ac:dyDescent="0.2">
      <c r="A147" t="s">
        <v>79</v>
      </c>
      <c r="B147" t="s">
        <v>50</v>
      </c>
      <c r="C147">
        <v>33.700000000000003</v>
      </c>
      <c r="D147">
        <v>1</v>
      </c>
      <c r="E147">
        <v>6</v>
      </c>
      <c r="F147" s="32">
        <f>VLOOKUP(Flow[[#This Row],[WSName]], WSData[#All], 4, FALSE)*Flow[[#This Row],[LoadSize]]*FLOOR(24*7*60*VLOOKUP(Flow[[#This Row],[WSName]], WSData[#All], 3, FALSE)/Flow[[#This Row],[RPT]], 1)</f>
        <v>1434</v>
      </c>
      <c r="G147" s="32">
        <f>Flow[[#This Row],[LoadSize]]*VLOOKUP(Flow[[#This Row],[WSName]], WSData[#All], 4, FALSE)</f>
        <v>6</v>
      </c>
    </row>
    <row r="148" spans="1:7" x14ac:dyDescent="0.2">
      <c r="A148" t="s">
        <v>80</v>
      </c>
      <c r="B148" t="s">
        <v>73</v>
      </c>
      <c r="C148">
        <v>0.9</v>
      </c>
      <c r="D148">
        <v>1</v>
      </c>
      <c r="E148">
        <v>2</v>
      </c>
      <c r="F148" s="32">
        <f>VLOOKUP(Flow[[#This Row],[WSName]], WSData[#All], 4, FALSE)*Flow[[#This Row],[LoadSize]]*FLOOR(24*7*60*VLOOKUP(Flow[[#This Row],[WSName]], WSData[#All], 3, FALSE)/Flow[[#This Row],[RPT]], 1)</f>
        <v>19040</v>
      </c>
      <c r="G148" s="32">
        <f>Flow[[#This Row],[LoadSize]]*VLOOKUP(Flow[[#This Row],[WSName]], WSData[#All], 4, FALSE)</f>
        <v>2</v>
      </c>
    </row>
    <row r="149" spans="1:7" x14ac:dyDescent="0.2">
      <c r="A149" t="s">
        <v>129</v>
      </c>
      <c r="B149" t="s">
        <v>73</v>
      </c>
      <c r="C149">
        <v>1.1000000000000001</v>
      </c>
      <c r="D149">
        <v>1</v>
      </c>
      <c r="E149">
        <v>2</v>
      </c>
      <c r="F149" s="32">
        <f>VLOOKUP(Flow[[#This Row],[WSName]], WSData[#All], 4, FALSE)*Flow[[#This Row],[LoadSize]]*FLOOR(24*7*60*VLOOKUP(Flow[[#This Row],[WSName]], WSData[#All], 3, FALSE)/Flow[[#This Row],[RPT]], 1)</f>
        <v>15578</v>
      </c>
      <c r="G149" s="32">
        <f>Flow[[#This Row],[LoadSize]]*VLOOKUP(Flow[[#This Row],[WSName]], WSData[#All], 4, FALSE)</f>
        <v>2</v>
      </c>
    </row>
    <row r="150" spans="1:7" x14ac:dyDescent="0.2">
      <c r="A150" t="s">
        <v>136</v>
      </c>
      <c r="B150" t="s">
        <v>73</v>
      </c>
      <c r="C150">
        <v>1.2</v>
      </c>
      <c r="D150">
        <v>1</v>
      </c>
      <c r="E150">
        <v>2</v>
      </c>
      <c r="F150" s="32">
        <f>VLOOKUP(Flow[[#This Row],[WSName]], WSData[#All], 4, FALSE)*Flow[[#This Row],[LoadSize]]*FLOOR(24*7*60*VLOOKUP(Flow[[#This Row],[WSName]], WSData[#All], 3, FALSE)/Flow[[#This Row],[RPT]], 1)</f>
        <v>14280</v>
      </c>
      <c r="G150" s="32">
        <f>Flow[[#This Row],[LoadSize]]*VLOOKUP(Flow[[#This Row],[WSName]], WSData[#All], 4, FALSE)</f>
        <v>2</v>
      </c>
    </row>
    <row r="151" spans="1:7" x14ac:dyDescent="0.2">
      <c r="A151" t="s">
        <v>153</v>
      </c>
      <c r="B151" t="s">
        <v>73</v>
      </c>
      <c r="C151">
        <v>1.9</v>
      </c>
      <c r="D151">
        <v>1</v>
      </c>
      <c r="E151">
        <v>2</v>
      </c>
      <c r="F151" s="32">
        <f>VLOOKUP(Flow[[#This Row],[WSName]], WSData[#All], 4, FALSE)*Flow[[#This Row],[LoadSize]]*FLOOR(24*7*60*VLOOKUP(Flow[[#This Row],[WSName]], WSData[#All], 3, FALSE)/Flow[[#This Row],[RPT]], 1)</f>
        <v>9018</v>
      </c>
      <c r="G151" s="32">
        <f>Flow[[#This Row],[LoadSize]]*VLOOKUP(Flow[[#This Row],[WSName]], WSData[#All], 4, FALSE)</f>
        <v>2</v>
      </c>
    </row>
    <row r="152" spans="1:7" x14ac:dyDescent="0.2">
      <c r="A152" t="s">
        <v>182</v>
      </c>
      <c r="B152" t="s">
        <v>73</v>
      </c>
      <c r="C152">
        <v>1.3</v>
      </c>
      <c r="D152">
        <v>1</v>
      </c>
      <c r="E152">
        <v>2</v>
      </c>
      <c r="F152" s="32">
        <f>VLOOKUP(Flow[[#This Row],[WSName]], WSData[#All], 4, FALSE)*Flow[[#This Row],[LoadSize]]*FLOOR(24*7*60*VLOOKUP(Flow[[#This Row],[WSName]], WSData[#All], 3, FALSE)/Flow[[#This Row],[RPT]], 1)</f>
        <v>13180</v>
      </c>
      <c r="G152" s="32">
        <f>Flow[[#This Row],[LoadSize]]*VLOOKUP(Flow[[#This Row],[WSName]], WSData[#All], 4, FALSE)</f>
        <v>2</v>
      </c>
    </row>
    <row r="153" spans="1:7" x14ac:dyDescent="0.2">
      <c r="A153" t="s">
        <v>185</v>
      </c>
      <c r="B153" t="s">
        <v>73</v>
      </c>
      <c r="C153">
        <v>0.8</v>
      </c>
      <c r="D153">
        <v>1</v>
      </c>
      <c r="E153">
        <v>2</v>
      </c>
      <c r="F153" s="32">
        <f>VLOOKUP(Flow[[#This Row],[WSName]], WSData[#All], 4, FALSE)*Flow[[#This Row],[LoadSize]]*FLOOR(24*7*60*VLOOKUP(Flow[[#This Row],[WSName]], WSData[#All], 3, FALSE)/Flow[[#This Row],[RPT]], 1)</f>
        <v>21420</v>
      </c>
      <c r="G153" s="32">
        <f>Flow[[#This Row],[LoadSize]]*VLOOKUP(Flow[[#This Row],[WSName]], WSData[#All], 4, FALSE)</f>
        <v>2</v>
      </c>
    </row>
    <row r="154" spans="1:7" x14ac:dyDescent="0.2">
      <c r="A154" t="s">
        <v>204</v>
      </c>
      <c r="B154" t="s">
        <v>73</v>
      </c>
      <c r="C154">
        <v>1.7</v>
      </c>
      <c r="D154">
        <v>1</v>
      </c>
      <c r="E154">
        <v>2</v>
      </c>
      <c r="F154" s="32">
        <f>VLOOKUP(Flow[[#This Row],[WSName]], WSData[#All], 4, FALSE)*Flow[[#This Row],[LoadSize]]*FLOOR(24*7*60*VLOOKUP(Flow[[#This Row],[WSName]], WSData[#All], 3, FALSE)/Flow[[#This Row],[RPT]], 1)</f>
        <v>10080</v>
      </c>
      <c r="G154" s="32">
        <f>Flow[[#This Row],[LoadSize]]*VLOOKUP(Flow[[#This Row],[WSName]], WSData[#All], 4, FALSE)</f>
        <v>2</v>
      </c>
    </row>
    <row r="155" spans="1:7" x14ac:dyDescent="0.2">
      <c r="A155" t="s">
        <v>206</v>
      </c>
      <c r="B155" t="s">
        <v>73</v>
      </c>
      <c r="C155">
        <v>1.4</v>
      </c>
      <c r="D155">
        <v>1</v>
      </c>
      <c r="E155">
        <v>2</v>
      </c>
      <c r="F155" s="32">
        <f>VLOOKUP(Flow[[#This Row],[WSName]], WSData[#All], 4, FALSE)*Flow[[#This Row],[LoadSize]]*FLOOR(24*7*60*VLOOKUP(Flow[[#This Row],[WSName]], WSData[#All], 3, FALSE)/Flow[[#This Row],[RPT]], 1)</f>
        <v>12240</v>
      </c>
      <c r="G155" s="32">
        <f>Flow[[#This Row],[LoadSize]]*VLOOKUP(Flow[[#This Row],[WSName]], WSData[#All], 4, FALSE)</f>
        <v>2</v>
      </c>
    </row>
    <row r="156" spans="1:7" x14ac:dyDescent="0.2">
      <c r="A156" t="s">
        <v>207</v>
      </c>
      <c r="B156" t="s">
        <v>73</v>
      </c>
      <c r="C156">
        <v>2</v>
      </c>
      <c r="D156">
        <v>1</v>
      </c>
      <c r="E156">
        <v>2</v>
      </c>
      <c r="F156" s="32">
        <f>VLOOKUP(Flow[[#This Row],[WSName]], WSData[#All], 4, FALSE)*Flow[[#This Row],[LoadSize]]*FLOOR(24*7*60*VLOOKUP(Flow[[#This Row],[WSName]], WSData[#All], 3, FALSE)/Flow[[#This Row],[RPT]], 1)</f>
        <v>8568</v>
      </c>
      <c r="G156" s="32">
        <f>Flow[[#This Row],[LoadSize]]*VLOOKUP(Flow[[#This Row],[WSName]], WSData[#All], 4, FALSE)</f>
        <v>2</v>
      </c>
    </row>
    <row r="157" spans="1:7" x14ac:dyDescent="0.2">
      <c r="A157" t="s">
        <v>231</v>
      </c>
      <c r="B157" t="s">
        <v>73</v>
      </c>
      <c r="C157">
        <v>1.2</v>
      </c>
      <c r="D157">
        <v>1</v>
      </c>
      <c r="E157">
        <v>2</v>
      </c>
      <c r="F157" s="32">
        <f>VLOOKUP(Flow[[#This Row],[WSName]], WSData[#All], 4, FALSE)*Flow[[#This Row],[LoadSize]]*FLOOR(24*7*60*VLOOKUP(Flow[[#This Row],[WSName]], WSData[#All], 3, FALSE)/Flow[[#This Row],[RPT]], 1)</f>
        <v>14280</v>
      </c>
      <c r="G157" s="32">
        <f>Flow[[#This Row],[LoadSize]]*VLOOKUP(Flow[[#This Row],[WSName]], WSData[#All], 4, FALSE)</f>
        <v>2</v>
      </c>
    </row>
    <row r="158" spans="1:7" x14ac:dyDescent="0.2">
      <c r="A158" t="s">
        <v>233</v>
      </c>
      <c r="B158" t="s">
        <v>73</v>
      </c>
      <c r="C158">
        <v>0.8</v>
      </c>
      <c r="D158">
        <v>1</v>
      </c>
      <c r="E158">
        <v>2</v>
      </c>
      <c r="F158" s="32">
        <f>VLOOKUP(Flow[[#This Row],[WSName]], WSData[#All], 4, FALSE)*Flow[[#This Row],[LoadSize]]*FLOOR(24*7*60*VLOOKUP(Flow[[#This Row],[WSName]], WSData[#All], 3, FALSE)/Flow[[#This Row],[RPT]], 1)</f>
        <v>21420</v>
      </c>
      <c r="G158" s="32">
        <f>Flow[[#This Row],[LoadSize]]*VLOOKUP(Flow[[#This Row],[WSName]], WSData[#All], 4, FALSE)</f>
        <v>2</v>
      </c>
    </row>
    <row r="159" spans="1:7" x14ac:dyDescent="0.2">
      <c r="A159" t="s">
        <v>249</v>
      </c>
      <c r="B159" t="s">
        <v>73</v>
      </c>
      <c r="C159">
        <v>1.1000000000000001</v>
      </c>
      <c r="D159">
        <v>1</v>
      </c>
      <c r="E159">
        <v>2</v>
      </c>
      <c r="F159" s="32">
        <f>VLOOKUP(Flow[[#This Row],[WSName]], WSData[#All], 4, FALSE)*Flow[[#This Row],[LoadSize]]*FLOOR(24*7*60*VLOOKUP(Flow[[#This Row],[WSName]], WSData[#All], 3, FALSE)/Flow[[#This Row],[RPT]], 1)</f>
        <v>15578</v>
      </c>
      <c r="G159" s="32">
        <f>Flow[[#This Row],[LoadSize]]*VLOOKUP(Flow[[#This Row],[WSName]], WSData[#All], 4, FALSE)</f>
        <v>2</v>
      </c>
    </row>
    <row r="160" spans="1:7" x14ac:dyDescent="0.2">
      <c r="A160" t="s">
        <v>253</v>
      </c>
      <c r="B160" t="s">
        <v>73</v>
      </c>
      <c r="C160">
        <v>1.3</v>
      </c>
      <c r="D160">
        <v>1</v>
      </c>
      <c r="E160">
        <v>2</v>
      </c>
      <c r="F160" s="32">
        <f>VLOOKUP(Flow[[#This Row],[WSName]], WSData[#All], 4, FALSE)*Flow[[#This Row],[LoadSize]]*FLOOR(24*7*60*VLOOKUP(Flow[[#This Row],[WSName]], WSData[#All], 3, FALSE)/Flow[[#This Row],[RPT]], 1)</f>
        <v>13180</v>
      </c>
      <c r="G160" s="32">
        <f>Flow[[#This Row],[LoadSize]]*VLOOKUP(Flow[[#This Row],[WSName]], WSData[#All], 4, FALSE)</f>
        <v>2</v>
      </c>
    </row>
    <row r="161" spans="1:7" x14ac:dyDescent="0.2">
      <c r="A161" t="s">
        <v>258</v>
      </c>
      <c r="B161" t="s">
        <v>73</v>
      </c>
      <c r="C161">
        <v>0.8</v>
      </c>
      <c r="D161">
        <v>1</v>
      </c>
      <c r="E161">
        <v>2</v>
      </c>
      <c r="F161" s="32">
        <f>VLOOKUP(Flow[[#This Row],[WSName]], WSData[#All], 4, FALSE)*Flow[[#This Row],[LoadSize]]*FLOOR(24*7*60*VLOOKUP(Flow[[#This Row],[WSName]], WSData[#All], 3, FALSE)/Flow[[#This Row],[RPT]], 1)</f>
        <v>21420</v>
      </c>
      <c r="G161" s="32">
        <f>Flow[[#This Row],[LoadSize]]*VLOOKUP(Flow[[#This Row],[WSName]], WSData[#All], 4, FALSE)</f>
        <v>2</v>
      </c>
    </row>
    <row r="162" spans="1:7" x14ac:dyDescent="0.2">
      <c r="A162" t="s">
        <v>270</v>
      </c>
      <c r="B162" t="s">
        <v>73</v>
      </c>
      <c r="C162">
        <v>1.2</v>
      </c>
      <c r="D162">
        <v>1</v>
      </c>
      <c r="E162">
        <v>2</v>
      </c>
      <c r="F162" s="32">
        <f>VLOOKUP(Flow[[#This Row],[WSName]], WSData[#All], 4, FALSE)*Flow[[#This Row],[LoadSize]]*FLOOR(24*7*60*VLOOKUP(Flow[[#This Row],[WSName]], WSData[#All], 3, FALSE)/Flow[[#This Row],[RPT]], 1)</f>
        <v>14280</v>
      </c>
      <c r="G162" s="32">
        <f>Flow[[#This Row],[LoadSize]]*VLOOKUP(Flow[[#This Row],[WSName]], WSData[#All], 4, FALSE)</f>
        <v>2</v>
      </c>
    </row>
    <row r="163" spans="1:7" x14ac:dyDescent="0.2">
      <c r="A163" t="s">
        <v>274</v>
      </c>
      <c r="B163" t="s">
        <v>73</v>
      </c>
      <c r="C163">
        <v>0.7</v>
      </c>
      <c r="D163">
        <v>1</v>
      </c>
      <c r="E163">
        <v>2</v>
      </c>
      <c r="F163" s="32">
        <f>VLOOKUP(Flow[[#This Row],[WSName]], WSData[#All], 4, FALSE)*Flow[[#This Row],[LoadSize]]*FLOOR(24*7*60*VLOOKUP(Flow[[#This Row],[WSName]], WSData[#All], 3, FALSE)/Flow[[#This Row],[RPT]], 1)</f>
        <v>24480</v>
      </c>
      <c r="G163" s="32">
        <f>Flow[[#This Row],[LoadSize]]*VLOOKUP(Flow[[#This Row],[WSName]], WSData[#All], 4, FALSE)</f>
        <v>2</v>
      </c>
    </row>
    <row r="164" spans="1:7" x14ac:dyDescent="0.2">
      <c r="A164" t="s">
        <v>113</v>
      </c>
      <c r="B164" t="s">
        <v>60</v>
      </c>
      <c r="C164">
        <v>0.5</v>
      </c>
      <c r="D164">
        <v>1</v>
      </c>
      <c r="E164">
        <v>1</v>
      </c>
      <c r="F164" s="32">
        <f>VLOOKUP(Flow[[#This Row],[WSName]], WSData[#All], 4, FALSE)*Flow[[#This Row],[LoadSize]]*FLOOR(24*7*60*VLOOKUP(Flow[[#This Row],[WSName]], WSData[#All], 3, FALSE)/Flow[[#This Row],[RPT]], 1)</f>
        <v>18345</v>
      </c>
      <c r="G164" s="32">
        <f>Flow[[#This Row],[LoadSize]]*VLOOKUP(Flow[[#This Row],[WSName]], WSData[#All], 4, FALSE)</f>
        <v>1</v>
      </c>
    </row>
    <row r="165" spans="1:7" x14ac:dyDescent="0.2">
      <c r="A165" t="s">
        <v>155</v>
      </c>
      <c r="B165" t="s">
        <v>60</v>
      </c>
      <c r="C165">
        <v>0.5</v>
      </c>
      <c r="D165">
        <v>1</v>
      </c>
      <c r="E165">
        <v>1</v>
      </c>
      <c r="F165" s="32">
        <f>VLOOKUP(Flow[[#This Row],[WSName]], WSData[#All], 4, FALSE)*Flow[[#This Row],[LoadSize]]*FLOOR(24*7*60*VLOOKUP(Flow[[#This Row],[WSName]], WSData[#All], 3, FALSE)/Flow[[#This Row],[RPT]], 1)</f>
        <v>18345</v>
      </c>
      <c r="G165" s="32">
        <f>Flow[[#This Row],[LoadSize]]*VLOOKUP(Flow[[#This Row],[WSName]], WSData[#All], 4, FALSE)</f>
        <v>1</v>
      </c>
    </row>
    <row r="166" spans="1:7" x14ac:dyDescent="0.2">
      <c r="A166" t="s">
        <v>254</v>
      </c>
      <c r="B166" t="s">
        <v>60</v>
      </c>
      <c r="C166">
        <v>0.4</v>
      </c>
      <c r="D166">
        <v>1</v>
      </c>
      <c r="E166">
        <v>1</v>
      </c>
      <c r="F166" s="32">
        <f>VLOOKUP(Flow[[#This Row],[WSName]], WSData[#All], 4, FALSE)*Flow[[#This Row],[LoadSize]]*FLOOR(24*7*60*VLOOKUP(Flow[[#This Row],[WSName]], WSData[#All], 3, FALSE)/Flow[[#This Row],[RPT]], 1)</f>
        <v>22932</v>
      </c>
      <c r="G166" s="32">
        <f>Flow[[#This Row],[LoadSize]]*VLOOKUP(Flow[[#This Row],[WSName]], WSData[#All], 4, FALSE)</f>
        <v>1</v>
      </c>
    </row>
    <row r="167" spans="1:7" x14ac:dyDescent="0.2">
      <c r="A167" t="s">
        <v>264</v>
      </c>
      <c r="B167" t="s">
        <v>60</v>
      </c>
      <c r="C167">
        <v>0.4</v>
      </c>
      <c r="D167">
        <v>1</v>
      </c>
      <c r="E167">
        <v>1</v>
      </c>
      <c r="F167" s="32">
        <f>VLOOKUP(Flow[[#This Row],[WSName]], WSData[#All], 4, FALSE)*Flow[[#This Row],[LoadSize]]*FLOOR(24*7*60*VLOOKUP(Flow[[#This Row],[WSName]], WSData[#All], 3, FALSE)/Flow[[#This Row],[RPT]], 1)</f>
        <v>22932</v>
      </c>
      <c r="G167" s="32">
        <f>Flow[[#This Row],[LoadSize]]*VLOOKUP(Flow[[#This Row],[WSName]], WSData[#All], 4, FALSE)</f>
        <v>1</v>
      </c>
    </row>
    <row r="168" spans="1:7" x14ac:dyDescent="0.2">
      <c r="A168" t="s">
        <v>91</v>
      </c>
      <c r="B168" t="s">
        <v>69</v>
      </c>
      <c r="C168">
        <v>0.2</v>
      </c>
      <c r="D168">
        <v>1</v>
      </c>
      <c r="E168">
        <v>1</v>
      </c>
      <c r="F168" s="32">
        <f>VLOOKUP(Flow[[#This Row],[WSName]], WSData[#All], 4, FALSE)*Flow[[#This Row],[LoadSize]]*FLOOR(24*7*60*VLOOKUP(Flow[[#This Row],[WSName]], WSData[#All], 3, FALSE)/Flow[[#This Row],[RPT]], 1)</f>
        <v>44352</v>
      </c>
      <c r="G168" s="32">
        <f>Flow[[#This Row],[LoadSize]]*VLOOKUP(Flow[[#This Row],[WSName]], WSData[#All], 4, FALSE)</f>
        <v>1</v>
      </c>
    </row>
    <row r="169" spans="1:7" x14ac:dyDescent="0.2">
      <c r="A169" t="s">
        <v>98</v>
      </c>
      <c r="B169" t="s">
        <v>69</v>
      </c>
      <c r="C169">
        <v>0.4</v>
      </c>
      <c r="D169">
        <v>1</v>
      </c>
      <c r="E169">
        <v>1</v>
      </c>
      <c r="F169" s="32">
        <f>VLOOKUP(Flow[[#This Row],[WSName]], WSData[#All], 4, FALSE)*Flow[[#This Row],[LoadSize]]*FLOOR(24*7*60*VLOOKUP(Flow[[#This Row],[WSName]], WSData[#All], 3, FALSE)/Flow[[#This Row],[RPT]], 1)</f>
        <v>22176</v>
      </c>
      <c r="G169" s="32">
        <f>Flow[[#This Row],[LoadSize]]*VLOOKUP(Flow[[#This Row],[WSName]], WSData[#All], 4, FALSE)</f>
        <v>1</v>
      </c>
    </row>
    <row r="170" spans="1:7" x14ac:dyDescent="0.2">
      <c r="A170" t="s">
        <v>101</v>
      </c>
      <c r="B170" t="s">
        <v>69</v>
      </c>
      <c r="C170">
        <v>0.3</v>
      </c>
      <c r="D170">
        <v>1</v>
      </c>
      <c r="E170">
        <v>1</v>
      </c>
      <c r="F170" s="32">
        <f>VLOOKUP(Flow[[#This Row],[WSName]], WSData[#All], 4, FALSE)*Flow[[#This Row],[LoadSize]]*FLOOR(24*7*60*VLOOKUP(Flow[[#This Row],[WSName]], WSData[#All], 3, FALSE)/Flow[[#This Row],[RPT]], 1)</f>
        <v>29568</v>
      </c>
      <c r="G170" s="32">
        <f>Flow[[#This Row],[LoadSize]]*VLOOKUP(Flow[[#This Row],[WSName]], WSData[#All], 4, FALSE)</f>
        <v>1</v>
      </c>
    </row>
    <row r="171" spans="1:7" x14ac:dyDescent="0.2">
      <c r="A171" t="s">
        <v>110</v>
      </c>
      <c r="B171" t="s">
        <v>69</v>
      </c>
      <c r="C171">
        <v>0.2</v>
      </c>
      <c r="D171">
        <v>1</v>
      </c>
      <c r="E171">
        <v>1</v>
      </c>
      <c r="F171" s="32">
        <f>VLOOKUP(Flow[[#This Row],[WSName]], WSData[#All], 4, FALSE)*Flow[[#This Row],[LoadSize]]*FLOOR(24*7*60*VLOOKUP(Flow[[#This Row],[WSName]], WSData[#All], 3, FALSE)/Flow[[#This Row],[RPT]], 1)</f>
        <v>44352</v>
      </c>
      <c r="G171" s="32">
        <f>Flow[[#This Row],[LoadSize]]*VLOOKUP(Flow[[#This Row],[WSName]], WSData[#All], 4, FALSE)</f>
        <v>1</v>
      </c>
    </row>
    <row r="172" spans="1:7" x14ac:dyDescent="0.2">
      <c r="A172" t="s">
        <v>115</v>
      </c>
      <c r="B172" t="s">
        <v>69</v>
      </c>
      <c r="C172">
        <v>0.2</v>
      </c>
      <c r="D172">
        <v>1</v>
      </c>
      <c r="E172">
        <v>1</v>
      </c>
      <c r="F172" s="32">
        <f>VLOOKUP(Flow[[#This Row],[WSName]], WSData[#All], 4, FALSE)*Flow[[#This Row],[LoadSize]]*FLOOR(24*7*60*VLOOKUP(Flow[[#This Row],[WSName]], WSData[#All], 3, FALSE)/Flow[[#This Row],[RPT]], 1)</f>
        <v>44352</v>
      </c>
      <c r="G172" s="32">
        <f>Flow[[#This Row],[LoadSize]]*VLOOKUP(Flow[[#This Row],[WSName]], WSData[#All], 4, FALSE)</f>
        <v>1</v>
      </c>
    </row>
    <row r="173" spans="1:7" x14ac:dyDescent="0.2">
      <c r="A173" t="s">
        <v>116</v>
      </c>
      <c r="B173" t="s">
        <v>69</v>
      </c>
      <c r="C173">
        <v>0.4</v>
      </c>
      <c r="D173">
        <v>1</v>
      </c>
      <c r="E173">
        <v>1</v>
      </c>
      <c r="F173" s="32">
        <f>VLOOKUP(Flow[[#This Row],[WSName]], WSData[#All], 4, FALSE)*Flow[[#This Row],[LoadSize]]*FLOOR(24*7*60*VLOOKUP(Flow[[#This Row],[WSName]], WSData[#All], 3, FALSE)/Flow[[#This Row],[RPT]], 1)</f>
        <v>22176</v>
      </c>
      <c r="G173" s="32">
        <f>Flow[[#This Row],[LoadSize]]*VLOOKUP(Flow[[#This Row],[WSName]], WSData[#All], 4, FALSE)</f>
        <v>1</v>
      </c>
    </row>
    <row r="174" spans="1:7" x14ac:dyDescent="0.2">
      <c r="A174" t="s">
        <v>125</v>
      </c>
      <c r="B174" t="s">
        <v>69</v>
      </c>
      <c r="C174">
        <v>0.4</v>
      </c>
      <c r="D174">
        <v>1</v>
      </c>
      <c r="E174">
        <v>1</v>
      </c>
      <c r="F174" s="32">
        <f>VLOOKUP(Flow[[#This Row],[WSName]], WSData[#All], 4, FALSE)*Flow[[#This Row],[LoadSize]]*FLOOR(24*7*60*VLOOKUP(Flow[[#This Row],[WSName]], WSData[#All], 3, FALSE)/Flow[[#This Row],[RPT]], 1)</f>
        <v>22176</v>
      </c>
      <c r="G174" s="32">
        <f>Flow[[#This Row],[LoadSize]]*VLOOKUP(Flow[[#This Row],[WSName]], WSData[#All], 4, FALSE)</f>
        <v>1</v>
      </c>
    </row>
    <row r="175" spans="1:7" x14ac:dyDescent="0.2">
      <c r="A175" t="s">
        <v>141</v>
      </c>
      <c r="B175" t="s">
        <v>69</v>
      </c>
      <c r="C175">
        <v>0.3</v>
      </c>
      <c r="D175">
        <v>1</v>
      </c>
      <c r="E175">
        <v>1</v>
      </c>
      <c r="F175" s="32">
        <f>VLOOKUP(Flow[[#This Row],[WSName]], WSData[#All], 4, FALSE)*Flow[[#This Row],[LoadSize]]*FLOOR(24*7*60*VLOOKUP(Flow[[#This Row],[WSName]], WSData[#All], 3, FALSE)/Flow[[#This Row],[RPT]], 1)</f>
        <v>29568</v>
      </c>
      <c r="G175" s="32">
        <f>Flow[[#This Row],[LoadSize]]*VLOOKUP(Flow[[#This Row],[WSName]], WSData[#All], 4, FALSE)</f>
        <v>1</v>
      </c>
    </row>
    <row r="176" spans="1:7" x14ac:dyDescent="0.2">
      <c r="A176" t="s">
        <v>154</v>
      </c>
      <c r="B176" t="s">
        <v>69</v>
      </c>
      <c r="C176">
        <v>0.3</v>
      </c>
      <c r="D176">
        <v>1</v>
      </c>
      <c r="E176">
        <v>1</v>
      </c>
      <c r="F176" s="32">
        <f>VLOOKUP(Flow[[#This Row],[WSName]], WSData[#All], 4, FALSE)*Flow[[#This Row],[LoadSize]]*FLOOR(24*7*60*VLOOKUP(Flow[[#This Row],[WSName]], WSData[#All], 3, FALSE)/Flow[[#This Row],[RPT]], 1)</f>
        <v>29568</v>
      </c>
      <c r="G176" s="32">
        <f>Flow[[#This Row],[LoadSize]]*VLOOKUP(Flow[[#This Row],[WSName]], WSData[#All], 4, FALSE)</f>
        <v>1</v>
      </c>
    </row>
    <row r="177" spans="1:7" x14ac:dyDescent="0.2">
      <c r="A177" t="s">
        <v>169</v>
      </c>
      <c r="B177" t="s">
        <v>69</v>
      </c>
      <c r="C177">
        <v>0.4</v>
      </c>
      <c r="D177">
        <v>1</v>
      </c>
      <c r="E177">
        <v>1</v>
      </c>
      <c r="F177" s="32">
        <f>VLOOKUP(Flow[[#This Row],[WSName]], WSData[#All], 4, FALSE)*Flow[[#This Row],[LoadSize]]*FLOOR(24*7*60*VLOOKUP(Flow[[#This Row],[WSName]], WSData[#All], 3, FALSE)/Flow[[#This Row],[RPT]], 1)</f>
        <v>22176</v>
      </c>
      <c r="G177" s="32">
        <f>Flow[[#This Row],[LoadSize]]*VLOOKUP(Flow[[#This Row],[WSName]], WSData[#All], 4, FALSE)</f>
        <v>1</v>
      </c>
    </row>
    <row r="178" spans="1:7" x14ac:dyDescent="0.2">
      <c r="A178" t="s">
        <v>170</v>
      </c>
      <c r="B178" t="s">
        <v>69</v>
      </c>
      <c r="C178">
        <v>0.3</v>
      </c>
      <c r="D178">
        <v>1</v>
      </c>
      <c r="E178">
        <v>1</v>
      </c>
      <c r="F178" s="32">
        <f>VLOOKUP(Flow[[#This Row],[WSName]], WSData[#All], 4, FALSE)*Flow[[#This Row],[LoadSize]]*FLOOR(24*7*60*VLOOKUP(Flow[[#This Row],[WSName]], WSData[#All], 3, FALSE)/Flow[[#This Row],[RPT]], 1)</f>
        <v>29568</v>
      </c>
      <c r="G178" s="32">
        <f>Flow[[#This Row],[LoadSize]]*VLOOKUP(Flow[[#This Row],[WSName]], WSData[#All], 4, FALSE)</f>
        <v>1</v>
      </c>
    </row>
    <row r="179" spans="1:7" x14ac:dyDescent="0.2">
      <c r="A179" t="s">
        <v>171</v>
      </c>
      <c r="B179" t="s">
        <v>69</v>
      </c>
      <c r="C179">
        <v>0.4</v>
      </c>
      <c r="D179">
        <v>1</v>
      </c>
      <c r="E179">
        <v>1</v>
      </c>
      <c r="F179" s="32">
        <f>VLOOKUP(Flow[[#This Row],[WSName]], WSData[#All], 4, FALSE)*Flow[[#This Row],[LoadSize]]*FLOOR(24*7*60*VLOOKUP(Flow[[#This Row],[WSName]], WSData[#All], 3, FALSE)/Flow[[#This Row],[RPT]], 1)</f>
        <v>22176</v>
      </c>
      <c r="G179" s="32">
        <f>Flow[[#This Row],[LoadSize]]*VLOOKUP(Flow[[#This Row],[WSName]], WSData[#All], 4, FALSE)</f>
        <v>1</v>
      </c>
    </row>
    <row r="180" spans="1:7" x14ac:dyDescent="0.2">
      <c r="A180" t="s">
        <v>175</v>
      </c>
      <c r="B180" t="s">
        <v>69</v>
      </c>
      <c r="C180">
        <v>0.3</v>
      </c>
      <c r="D180">
        <v>1</v>
      </c>
      <c r="E180">
        <v>1</v>
      </c>
      <c r="F180" s="32">
        <f>VLOOKUP(Flow[[#This Row],[WSName]], WSData[#All], 4, FALSE)*Flow[[#This Row],[LoadSize]]*FLOOR(24*7*60*VLOOKUP(Flow[[#This Row],[WSName]], WSData[#All], 3, FALSE)/Flow[[#This Row],[RPT]], 1)</f>
        <v>29568</v>
      </c>
      <c r="G180" s="32">
        <f>Flow[[#This Row],[LoadSize]]*VLOOKUP(Flow[[#This Row],[WSName]], WSData[#All], 4, FALSE)</f>
        <v>1</v>
      </c>
    </row>
    <row r="181" spans="1:7" x14ac:dyDescent="0.2">
      <c r="A181" t="s">
        <v>194</v>
      </c>
      <c r="B181" t="s">
        <v>69</v>
      </c>
      <c r="C181">
        <v>0.3</v>
      </c>
      <c r="D181">
        <v>1</v>
      </c>
      <c r="E181">
        <v>1</v>
      </c>
      <c r="F181" s="32">
        <f>VLOOKUP(Flow[[#This Row],[WSName]], WSData[#All], 4, FALSE)*Flow[[#This Row],[LoadSize]]*FLOOR(24*7*60*VLOOKUP(Flow[[#This Row],[WSName]], WSData[#All], 3, FALSE)/Flow[[#This Row],[RPT]], 1)</f>
        <v>29568</v>
      </c>
      <c r="G181" s="32">
        <f>Flow[[#This Row],[LoadSize]]*VLOOKUP(Flow[[#This Row],[WSName]], WSData[#All], 4, FALSE)</f>
        <v>1</v>
      </c>
    </row>
    <row r="182" spans="1:7" x14ac:dyDescent="0.2">
      <c r="A182" t="s">
        <v>203</v>
      </c>
      <c r="B182" t="s">
        <v>69</v>
      </c>
      <c r="C182">
        <v>0.3</v>
      </c>
      <c r="D182">
        <v>1</v>
      </c>
      <c r="E182">
        <v>1</v>
      </c>
      <c r="F182" s="32">
        <f>VLOOKUP(Flow[[#This Row],[WSName]], WSData[#All], 4, FALSE)*Flow[[#This Row],[LoadSize]]*FLOOR(24*7*60*VLOOKUP(Flow[[#This Row],[WSName]], WSData[#All], 3, FALSE)/Flow[[#This Row],[RPT]], 1)</f>
        <v>29568</v>
      </c>
      <c r="G182" s="32">
        <f>Flow[[#This Row],[LoadSize]]*VLOOKUP(Flow[[#This Row],[WSName]], WSData[#All], 4, FALSE)</f>
        <v>1</v>
      </c>
    </row>
    <row r="183" spans="1:7" x14ac:dyDescent="0.2">
      <c r="A183" t="s">
        <v>225</v>
      </c>
      <c r="B183" t="s">
        <v>69</v>
      </c>
      <c r="C183">
        <v>0.2</v>
      </c>
      <c r="D183">
        <v>1</v>
      </c>
      <c r="E183">
        <v>1</v>
      </c>
      <c r="F183" s="32">
        <f>VLOOKUP(Flow[[#This Row],[WSName]], WSData[#All], 4, FALSE)*Flow[[#This Row],[LoadSize]]*FLOOR(24*7*60*VLOOKUP(Flow[[#This Row],[WSName]], WSData[#All], 3, FALSE)/Flow[[#This Row],[RPT]], 1)</f>
        <v>44352</v>
      </c>
      <c r="G183" s="32">
        <f>Flow[[#This Row],[LoadSize]]*VLOOKUP(Flow[[#This Row],[WSName]], WSData[#All], 4, FALSE)</f>
        <v>1</v>
      </c>
    </row>
    <row r="184" spans="1:7" x14ac:dyDescent="0.2">
      <c r="A184" t="s">
        <v>226</v>
      </c>
      <c r="B184" t="s">
        <v>69</v>
      </c>
      <c r="C184">
        <v>0.4</v>
      </c>
      <c r="D184">
        <v>1</v>
      </c>
      <c r="E184">
        <v>1</v>
      </c>
      <c r="F184" s="32">
        <f>VLOOKUP(Flow[[#This Row],[WSName]], WSData[#All], 4, FALSE)*Flow[[#This Row],[LoadSize]]*FLOOR(24*7*60*VLOOKUP(Flow[[#This Row],[WSName]], WSData[#All], 3, FALSE)/Flow[[#This Row],[RPT]], 1)</f>
        <v>22176</v>
      </c>
      <c r="G184" s="32">
        <f>Flow[[#This Row],[LoadSize]]*VLOOKUP(Flow[[#This Row],[WSName]], WSData[#All], 4, FALSE)</f>
        <v>1</v>
      </c>
    </row>
    <row r="185" spans="1:7" x14ac:dyDescent="0.2">
      <c r="A185" t="s">
        <v>234</v>
      </c>
      <c r="B185" t="s">
        <v>69</v>
      </c>
      <c r="C185">
        <v>0.3</v>
      </c>
      <c r="D185">
        <v>1</v>
      </c>
      <c r="E185">
        <v>1</v>
      </c>
      <c r="F185" s="32">
        <f>VLOOKUP(Flow[[#This Row],[WSName]], WSData[#All], 4, FALSE)*Flow[[#This Row],[LoadSize]]*FLOOR(24*7*60*VLOOKUP(Flow[[#This Row],[WSName]], WSData[#All], 3, FALSE)/Flow[[#This Row],[RPT]], 1)</f>
        <v>29568</v>
      </c>
      <c r="G185" s="32">
        <f>Flow[[#This Row],[LoadSize]]*VLOOKUP(Flow[[#This Row],[WSName]], WSData[#All], 4, FALSE)</f>
        <v>1</v>
      </c>
    </row>
    <row r="186" spans="1:7" x14ac:dyDescent="0.2">
      <c r="A186" t="s">
        <v>236</v>
      </c>
      <c r="B186" t="s">
        <v>69</v>
      </c>
      <c r="C186">
        <v>0.2</v>
      </c>
      <c r="D186">
        <v>1</v>
      </c>
      <c r="E186">
        <v>1</v>
      </c>
      <c r="F186" s="32">
        <f>VLOOKUP(Flow[[#This Row],[WSName]], WSData[#All], 4, FALSE)*Flow[[#This Row],[LoadSize]]*FLOOR(24*7*60*VLOOKUP(Flow[[#This Row],[WSName]], WSData[#All], 3, FALSE)/Flow[[#This Row],[RPT]], 1)</f>
        <v>44352</v>
      </c>
      <c r="G186" s="32">
        <f>Flow[[#This Row],[LoadSize]]*VLOOKUP(Flow[[#This Row],[WSName]], WSData[#All], 4, FALSE)</f>
        <v>1</v>
      </c>
    </row>
    <row r="187" spans="1:7" x14ac:dyDescent="0.2">
      <c r="A187" t="s">
        <v>243</v>
      </c>
      <c r="B187" t="s">
        <v>69</v>
      </c>
      <c r="C187">
        <v>0.3</v>
      </c>
      <c r="D187">
        <v>1</v>
      </c>
      <c r="E187">
        <v>1</v>
      </c>
      <c r="F187" s="32">
        <f>VLOOKUP(Flow[[#This Row],[WSName]], WSData[#All], 4, FALSE)*Flow[[#This Row],[LoadSize]]*FLOOR(24*7*60*VLOOKUP(Flow[[#This Row],[WSName]], WSData[#All], 3, FALSE)/Flow[[#This Row],[RPT]], 1)</f>
        <v>29568</v>
      </c>
      <c r="G187" s="32">
        <f>Flow[[#This Row],[LoadSize]]*VLOOKUP(Flow[[#This Row],[WSName]], WSData[#All], 4, FALSE)</f>
        <v>1</v>
      </c>
    </row>
    <row r="188" spans="1:7" x14ac:dyDescent="0.2">
      <c r="A188" t="s">
        <v>262</v>
      </c>
      <c r="B188" t="s">
        <v>69</v>
      </c>
      <c r="C188">
        <v>0.3</v>
      </c>
      <c r="D188">
        <v>1</v>
      </c>
      <c r="E188">
        <v>1</v>
      </c>
      <c r="F188" s="32">
        <f>VLOOKUP(Flow[[#This Row],[WSName]], WSData[#All], 4, FALSE)*Flow[[#This Row],[LoadSize]]*FLOOR(24*7*60*VLOOKUP(Flow[[#This Row],[WSName]], WSData[#All], 3, FALSE)/Flow[[#This Row],[RPT]], 1)</f>
        <v>29568</v>
      </c>
      <c r="G188" s="32">
        <f>Flow[[#This Row],[LoadSize]]*VLOOKUP(Flow[[#This Row],[WSName]], WSData[#All], 4, FALSE)</f>
        <v>1</v>
      </c>
    </row>
    <row r="189" spans="1:7" x14ac:dyDescent="0.2">
      <c r="A189" t="s">
        <v>266</v>
      </c>
      <c r="B189" t="s">
        <v>69</v>
      </c>
      <c r="C189">
        <v>0.4</v>
      </c>
      <c r="D189">
        <v>1</v>
      </c>
      <c r="E189">
        <v>1</v>
      </c>
      <c r="F189" s="32">
        <f>VLOOKUP(Flow[[#This Row],[WSName]], WSData[#All], 4, FALSE)*Flow[[#This Row],[LoadSize]]*FLOOR(24*7*60*VLOOKUP(Flow[[#This Row],[WSName]], WSData[#All], 3, FALSE)/Flow[[#This Row],[RPT]], 1)</f>
        <v>22176</v>
      </c>
      <c r="G189" s="32">
        <f>Flow[[#This Row],[LoadSize]]*VLOOKUP(Flow[[#This Row],[WSName]], WSData[#All], 4, FALSE)</f>
        <v>1</v>
      </c>
    </row>
    <row r="190" spans="1:7" x14ac:dyDescent="0.2">
      <c r="A190" t="s">
        <v>85</v>
      </c>
      <c r="B190" t="s">
        <v>30</v>
      </c>
      <c r="C190">
        <v>0.9</v>
      </c>
      <c r="D190">
        <v>1</v>
      </c>
      <c r="E190">
        <v>3</v>
      </c>
      <c r="F190" s="32">
        <f>VLOOKUP(Flow[[#This Row],[WSName]], WSData[#All], 4, FALSE)*Flow[[#This Row],[LoadSize]]*FLOOR(24*7*60*VLOOKUP(Flow[[#This Row],[WSName]], WSData[#All], 3, FALSE)/Flow[[#This Row],[RPT]], 1)</f>
        <v>25200</v>
      </c>
      <c r="G190" s="32">
        <f>Flow[[#This Row],[LoadSize]]*VLOOKUP(Flow[[#This Row],[WSName]], WSData[#All], 4, FALSE)</f>
        <v>3</v>
      </c>
    </row>
    <row r="191" spans="1:7" x14ac:dyDescent="0.2">
      <c r="A191" t="s">
        <v>121</v>
      </c>
      <c r="B191" t="s">
        <v>30</v>
      </c>
      <c r="C191">
        <v>1.1000000000000001</v>
      </c>
      <c r="D191">
        <v>1</v>
      </c>
      <c r="E191">
        <v>3</v>
      </c>
      <c r="F191" s="32">
        <f>VLOOKUP(Flow[[#This Row],[WSName]], WSData[#All], 4, FALSE)*Flow[[#This Row],[LoadSize]]*FLOOR(24*7*60*VLOOKUP(Flow[[#This Row],[WSName]], WSData[#All], 3, FALSE)/Flow[[#This Row],[RPT]], 1)</f>
        <v>20616</v>
      </c>
      <c r="G191" s="32">
        <f>Flow[[#This Row],[LoadSize]]*VLOOKUP(Flow[[#This Row],[WSName]], WSData[#All], 4, FALSE)</f>
        <v>3</v>
      </c>
    </row>
    <row r="192" spans="1:7" x14ac:dyDescent="0.2">
      <c r="A192" t="s">
        <v>143</v>
      </c>
      <c r="B192" t="s">
        <v>30</v>
      </c>
      <c r="C192">
        <v>0.8</v>
      </c>
      <c r="D192">
        <v>1</v>
      </c>
      <c r="E192">
        <v>3</v>
      </c>
      <c r="F192" s="32">
        <f>VLOOKUP(Flow[[#This Row],[WSName]], WSData[#All], 4, FALSE)*Flow[[#This Row],[LoadSize]]*FLOOR(24*7*60*VLOOKUP(Flow[[#This Row],[WSName]], WSData[#All], 3, FALSE)/Flow[[#This Row],[RPT]], 1)</f>
        <v>28350</v>
      </c>
      <c r="G192" s="32">
        <f>Flow[[#This Row],[LoadSize]]*VLOOKUP(Flow[[#This Row],[WSName]], WSData[#All], 4, FALSE)</f>
        <v>3</v>
      </c>
    </row>
    <row r="193" spans="1:7" x14ac:dyDescent="0.2">
      <c r="A193" t="s">
        <v>161</v>
      </c>
      <c r="B193" t="s">
        <v>30</v>
      </c>
      <c r="C193">
        <v>0.7</v>
      </c>
      <c r="D193">
        <v>1</v>
      </c>
      <c r="E193">
        <v>3</v>
      </c>
      <c r="F193" s="32">
        <f>VLOOKUP(Flow[[#This Row],[WSName]], WSData[#All], 4, FALSE)*Flow[[#This Row],[LoadSize]]*FLOOR(24*7*60*VLOOKUP(Flow[[#This Row],[WSName]], WSData[#All], 3, FALSE)/Flow[[#This Row],[RPT]], 1)</f>
        <v>32400</v>
      </c>
      <c r="G193" s="32">
        <f>Flow[[#This Row],[LoadSize]]*VLOOKUP(Flow[[#This Row],[WSName]], WSData[#All], 4, FALSE)</f>
        <v>3</v>
      </c>
    </row>
    <row r="194" spans="1:7" x14ac:dyDescent="0.2">
      <c r="A194" t="s">
        <v>178</v>
      </c>
      <c r="B194" t="s">
        <v>30</v>
      </c>
      <c r="C194">
        <v>1.2</v>
      </c>
      <c r="D194">
        <v>1</v>
      </c>
      <c r="E194">
        <v>3</v>
      </c>
      <c r="F194" s="32">
        <f>VLOOKUP(Flow[[#This Row],[WSName]], WSData[#All], 4, FALSE)*Flow[[#This Row],[LoadSize]]*FLOOR(24*7*60*VLOOKUP(Flow[[#This Row],[WSName]], WSData[#All], 3, FALSE)/Flow[[#This Row],[RPT]], 1)</f>
        <v>18900</v>
      </c>
      <c r="G194" s="32">
        <f>Flow[[#This Row],[LoadSize]]*VLOOKUP(Flow[[#This Row],[WSName]], WSData[#All], 4, FALSE)</f>
        <v>3</v>
      </c>
    </row>
    <row r="195" spans="1:7" x14ac:dyDescent="0.2">
      <c r="A195" t="s">
        <v>180</v>
      </c>
      <c r="B195" t="s">
        <v>30</v>
      </c>
      <c r="C195">
        <v>0.7</v>
      </c>
      <c r="D195">
        <v>1</v>
      </c>
      <c r="E195">
        <v>3</v>
      </c>
      <c r="F195" s="32">
        <f>VLOOKUP(Flow[[#This Row],[WSName]], WSData[#All], 4, FALSE)*Flow[[#This Row],[LoadSize]]*FLOOR(24*7*60*VLOOKUP(Flow[[#This Row],[WSName]], WSData[#All], 3, FALSE)/Flow[[#This Row],[RPT]], 1)</f>
        <v>32400</v>
      </c>
      <c r="G195" s="32">
        <f>Flow[[#This Row],[LoadSize]]*VLOOKUP(Flow[[#This Row],[WSName]], WSData[#All], 4, FALSE)</f>
        <v>3</v>
      </c>
    </row>
    <row r="196" spans="1:7" x14ac:dyDescent="0.2">
      <c r="A196" t="s">
        <v>235</v>
      </c>
      <c r="B196" t="s">
        <v>30</v>
      </c>
      <c r="C196">
        <v>3.1</v>
      </c>
      <c r="D196">
        <v>1</v>
      </c>
      <c r="E196">
        <v>3</v>
      </c>
      <c r="F196" s="32">
        <f>VLOOKUP(Flow[[#This Row],[WSName]], WSData[#All], 4, FALSE)*Flow[[#This Row],[LoadSize]]*FLOOR(24*7*60*VLOOKUP(Flow[[#This Row],[WSName]], WSData[#All], 3, FALSE)/Flow[[#This Row],[RPT]], 1)</f>
        <v>7314</v>
      </c>
      <c r="G196" s="32">
        <f>Flow[[#This Row],[LoadSize]]*VLOOKUP(Flow[[#This Row],[WSName]], WSData[#All], 4, FALSE)</f>
        <v>3</v>
      </c>
    </row>
    <row r="197" spans="1:7" x14ac:dyDescent="0.2">
      <c r="A197" t="s">
        <v>267</v>
      </c>
      <c r="B197" t="s">
        <v>30</v>
      </c>
      <c r="C197">
        <v>2.2000000000000002</v>
      </c>
      <c r="D197">
        <v>1</v>
      </c>
      <c r="E197">
        <v>3</v>
      </c>
      <c r="F197" s="32">
        <f>VLOOKUP(Flow[[#This Row],[WSName]], WSData[#All], 4, FALSE)*Flow[[#This Row],[LoadSize]]*FLOOR(24*7*60*VLOOKUP(Flow[[#This Row],[WSName]], WSData[#All], 3, FALSE)/Flow[[#This Row],[RPT]], 1)</f>
        <v>10308</v>
      </c>
      <c r="G197" s="32">
        <f>Flow[[#This Row],[LoadSize]]*VLOOKUP(Flow[[#This Row],[WSName]], WSData[#All], 4, FALSE)</f>
        <v>3</v>
      </c>
    </row>
    <row r="198" spans="1:7" x14ac:dyDescent="0.2">
      <c r="A198" t="s">
        <v>77</v>
      </c>
      <c r="B198" t="s">
        <v>37</v>
      </c>
      <c r="C198">
        <v>526.4</v>
      </c>
      <c r="D198">
        <v>200</v>
      </c>
      <c r="E198">
        <v>1</v>
      </c>
      <c r="F198" s="32">
        <f>VLOOKUP(Flow[[#This Row],[WSName]], WSData[#All], 4, FALSE)*Flow[[#This Row],[LoadSize]]*FLOOR(24*7*60*VLOOKUP(Flow[[#This Row],[WSName]], WSData[#All], 3, FALSE)/Flow[[#This Row],[RPT]], 1)</f>
        <v>2400</v>
      </c>
      <c r="G198" s="32">
        <f>Flow[[#This Row],[LoadSize]]*VLOOKUP(Flow[[#This Row],[WSName]], WSData[#All], 4, FALSE)</f>
        <v>200</v>
      </c>
    </row>
    <row r="199" spans="1:7" x14ac:dyDescent="0.2">
      <c r="A199" t="s">
        <v>219</v>
      </c>
      <c r="B199" t="s">
        <v>37</v>
      </c>
      <c r="C199">
        <v>393.9</v>
      </c>
      <c r="D199">
        <v>250</v>
      </c>
      <c r="E199">
        <v>1</v>
      </c>
      <c r="F199" s="32">
        <f>VLOOKUP(Flow[[#This Row],[WSName]], WSData[#All], 4, FALSE)*Flow[[#This Row],[LoadSize]]*FLOOR(24*7*60*VLOOKUP(Flow[[#This Row],[WSName]], WSData[#All], 3, FALSE)/Flow[[#This Row],[RPT]], 1)</f>
        <v>4250</v>
      </c>
      <c r="G199" s="32">
        <f>Flow[[#This Row],[LoadSize]]*VLOOKUP(Flow[[#This Row],[WSName]], WSData[#All], 4, FALSE)</f>
        <v>250</v>
      </c>
    </row>
    <row r="200" spans="1:7" x14ac:dyDescent="0.2">
      <c r="A200" t="s">
        <v>222</v>
      </c>
      <c r="B200" t="s">
        <v>37</v>
      </c>
      <c r="C200">
        <v>646.70000000000005</v>
      </c>
      <c r="D200">
        <v>200</v>
      </c>
      <c r="E200">
        <v>1</v>
      </c>
      <c r="F200" s="32">
        <f>VLOOKUP(Flow[[#This Row],[WSName]], WSData[#All], 4, FALSE)*Flow[[#This Row],[LoadSize]]*FLOOR(24*7*60*VLOOKUP(Flow[[#This Row],[WSName]], WSData[#All], 3, FALSE)/Flow[[#This Row],[RPT]], 1)</f>
        <v>2000</v>
      </c>
      <c r="G200" s="32">
        <f>Flow[[#This Row],[LoadSize]]*VLOOKUP(Flow[[#This Row],[WSName]], WSData[#All], 4, FALSE)</f>
        <v>200</v>
      </c>
    </row>
    <row r="201" spans="1:7" x14ac:dyDescent="0.2">
      <c r="A201" t="s">
        <v>257</v>
      </c>
      <c r="B201" t="s">
        <v>37</v>
      </c>
      <c r="C201">
        <v>640.29999999999995</v>
      </c>
      <c r="D201">
        <v>200</v>
      </c>
      <c r="E201">
        <v>1</v>
      </c>
      <c r="F201" s="32">
        <f>VLOOKUP(Flow[[#This Row],[WSName]], WSData[#All], 4, FALSE)*Flow[[#This Row],[LoadSize]]*FLOOR(24*7*60*VLOOKUP(Flow[[#This Row],[WSName]], WSData[#All], 3, FALSE)/Flow[[#This Row],[RPT]], 1)</f>
        <v>2000</v>
      </c>
      <c r="G201" s="32">
        <f>Flow[[#This Row],[LoadSize]]*VLOOKUP(Flow[[#This Row],[WSName]], WSData[#All], 4, FALSE)</f>
        <v>200</v>
      </c>
    </row>
  </sheetData>
  <pageMargins left="0.7" right="0.7" top="0.75" bottom="0.75" header="0.3" footer="0.3"/>
  <pageSetup orientation="portrait" r:id="rId1"/>
  <headerFooter>
    <oddHeader>&amp;L&amp;"Calibri"&amp;9&amp;K000000Micron Confidential&amp;1#</oddHeader>
    <oddFooter>&amp;L&amp;1#&amp;"Calibri"&amp;9&amp;K000000Micron Confidential</oddFooter>
  </headerFooter>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671ECE-4649-492A-A051-52E137F1BC92}">
  <sheetPr>
    <tabColor theme="8" tint="0.39997558519241921"/>
  </sheetPr>
  <dimension ref="B2:M487"/>
  <sheetViews>
    <sheetView workbookViewId="0"/>
  </sheetViews>
  <sheetFormatPr baseColWidth="10" defaultColWidth="8.83203125" defaultRowHeight="15" x14ac:dyDescent="0.2"/>
  <cols>
    <col min="2" max="2" width="5.1640625" bestFit="1" customWidth="1"/>
    <col min="3" max="3" width="44" customWidth="1"/>
    <col min="4" max="4" width="17.5" style="2" bestFit="1" customWidth="1"/>
    <col min="5" max="5" width="15.83203125" bestFit="1" customWidth="1"/>
    <col min="8" max="9" width="13.33203125" bestFit="1" customWidth="1"/>
    <col min="10" max="10" width="9.5" bestFit="1" customWidth="1"/>
  </cols>
  <sheetData>
    <row r="2" spans="2:7" s="7" customFormat="1" x14ac:dyDescent="0.2">
      <c r="C2" s="7" t="s">
        <v>275</v>
      </c>
      <c r="D2" s="8"/>
    </row>
    <row r="3" spans="2:7" x14ac:dyDescent="0.2">
      <c r="B3">
        <v>1</v>
      </c>
      <c r="C3" t="s">
        <v>276</v>
      </c>
      <c r="D3" s="2">
        <v>5000</v>
      </c>
      <c r="E3" t="s">
        <v>277</v>
      </c>
    </row>
    <row r="4" spans="2:7" x14ac:dyDescent="0.2">
      <c r="B4">
        <v>2</v>
      </c>
      <c r="C4" t="s">
        <v>278</v>
      </c>
      <c r="D4" s="2">
        <v>50000</v>
      </c>
      <c r="E4" t="s">
        <v>279</v>
      </c>
    </row>
    <row r="5" spans="2:7" x14ac:dyDescent="0.2">
      <c r="B5">
        <v>3</v>
      </c>
      <c r="C5" t="s">
        <v>280</v>
      </c>
    </row>
    <row r="6" spans="2:7" x14ac:dyDescent="0.2">
      <c r="B6">
        <v>4</v>
      </c>
      <c r="C6" t="s">
        <v>281</v>
      </c>
    </row>
    <row r="7" spans="2:7" x14ac:dyDescent="0.2">
      <c r="B7">
        <v>5</v>
      </c>
      <c r="C7" t="s">
        <v>282</v>
      </c>
    </row>
    <row r="8" spans="2:7" x14ac:dyDescent="0.2">
      <c r="C8" t="s">
        <v>283</v>
      </c>
    </row>
    <row r="9" spans="2:7" x14ac:dyDescent="0.2">
      <c r="C9" t="s">
        <v>291</v>
      </c>
    </row>
    <row r="11" spans="2:7" x14ac:dyDescent="0.2">
      <c r="B11">
        <v>6</v>
      </c>
      <c r="C11" t="s">
        <v>284</v>
      </c>
      <c r="G11" s="9"/>
    </row>
    <row r="12" spans="2:7" x14ac:dyDescent="0.2">
      <c r="G12" s="9"/>
    </row>
    <row r="13" spans="2:7" x14ac:dyDescent="0.2">
      <c r="C13" s="19" t="s">
        <v>285</v>
      </c>
      <c r="D13" s="20" t="s">
        <v>286</v>
      </c>
      <c r="G13" s="9"/>
    </row>
    <row r="14" spans="2:7" x14ac:dyDescent="0.2">
      <c r="C14" s="10" t="s">
        <v>287</v>
      </c>
      <c r="D14" s="11">
        <v>1000000000</v>
      </c>
      <c r="G14" s="9"/>
    </row>
    <row r="15" spans="2:7" x14ac:dyDescent="0.2">
      <c r="C15" s="10" t="s">
        <v>288</v>
      </c>
      <c r="D15" s="11">
        <v>1070000000</v>
      </c>
      <c r="G15" s="9"/>
    </row>
    <row r="16" spans="2:7" x14ac:dyDescent="0.2">
      <c r="C16" s="10" t="s">
        <v>289</v>
      </c>
      <c r="D16" s="11">
        <v>1170000000</v>
      </c>
      <c r="G16" s="9"/>
    </row>
    <row r="17" spans="3:13" x14ac:dyDescent="0.2">
      <c r="C17" s="10" t="s">
        <v>290</v>
      </c>
      <c r="D17" s="11">
        <v>1290000000</v>
      </c>
      <c r="G17" s="9"/>
    </row>
    <row r="18" spans="3:13" x14ac:dyDescent="0.2">
      <c r="G18" s="9"/>
    </row>
    <row r="19" spans="3:13" x14ac:dyDescent="0.2">
      <c r="G19" s="9"/>
    </row>
    <row r="20" spans="3:13" x14ac:dyDescent="0.2">
      <c r="G20" s="9"/>
    </row>
    <row r="21" spans="3:13" x14ac:dyDescent="0.2">
      <c r="G21" s="9"/>
    </row>
    <row r="22" spans="3:13" x14ac:dyDescent="0.2">
      <c r="G22" s="9"/>
    </row>
    <row r="23" spans="3:13" x14ac:dyDescent="0.2">
      <c r="G23" s="9"/>
    </row>
    <row r="24" spans="3:13" x14ac:dyDescent="0.2">
      <c r="G24" s="9"/>
    </row>
    <row r="25" spans="3:13" x14ac:dyDescent="0.2">
      <c r="G25" s="9"/>
    </row>
    <row r="26" spans="3:13" x14ac:dyDescent="0.2">
      <c r="G26" s="9"/>
    </row>
    <row r="27" spans="3:13" x14ac:dyDescent="0.2">
      <c r="G27" s="9"/>
    </row>
    <row r="28" spans="3:13" x14ac:dyDescent="0.2">
      <c r="G28" s="9"/>
    </row>
    <row r="29" spans="3:13" x14ac:dyDescent="0.2">
      <c r="G29" s="9"/>
      <c r="J29" s="12"/>
      <c r="K29" s="12"/>
      <c r="L29" s="12"/>
      <c r="M29" s="12"/>
    </row>
    <row r="30" spans="3:13" x14ac:dyDescent="0.2">
      <c r="G30" s="9"/>
      <c r="J30" s="22"/>
      <c r="K30" s="22"/>
      <c r="L30" s="12"/>
      <c r="M30" s="22"/>
    </row>
    <row r="31" spans="3:13" x14ac:dyDescent="0.2">
      <c r="G31" s="9"/>
      <c r="H31" s="2"/>
      <c r="I31" s="2"/>
    </row>
    <row r="32" spans="3:13" x14ac:dyDescent="0.2">
      <c r="G32" s="9"/>
    </row>
    <row r="33" spans="7:10" x14ac:dyDescent="0.2">
      <c r="G33" s="9"/>
      <c r="H33" s="9"/>
      <c r="I33" s="21"/>
      <c r="J33" s="9"/>
    </row>
    <row r="34" spans="7:10" x14ac:dyDescent="0.2">
      <c r="G34" s="9"/>
      <c r="H34" s="9"/>
    </row>
    <row r="35" spans="7:10" x14ac:dyDescent="0.2">
      <c r="G35" s="9"/>
    </row>
    <row r="36" spans="7:10" x14ac:dyDescent="0.2">
      <c r="G36" s="9"/>
    </row>
    <row r="37" spans="7:10" x14ac:dyDescent="0.2">
      <c r="G37" s="9"/>
    </row>
    <row r="38" spans="7:10" x14ac:dyDescent="0.2">
      <c r="G38" s="9"/>
    </row>
    <row r="39" spans="7:10" x14ac:dyDescent="0.2">
      <c r="G39" s="9"/>
    </row>
    <row r="40" spans="7:10" x14ac:dyDescent="0.2">
      <c r="G40" s="9"/>
    </row>
    <row r="41" spans="7:10" x14ac:dyDescent="0.2">
      <c r="G41" s="9"/>
    </row>
    <row r="42" spans="7:10" x14ac:dyDescent="0.2">
      <c r="G42" s="9"/>
    </row>
    <row r="43" spans="7:10" x14ac:dyDescent="0.2">
      <c r="G43" s="9"/>
    </row>
    <row r="44" spans="7:10" x14ac:dyDescent="0.2">
      <c r="G44" s="9"/>
    </row>
    <row r="45" spans="7:10" x14ac:dyDescent="0.2">
      <c r="G45" s="9"/>
    </row>
    <row r="46" spans="7:10" x14ac:dyDescent="0.2">
      <c r="G46" s="9"/>
    </row>
    <row r="47" spans="7:10" x14ac:dyDescent="0.2">
      <c r="G47" s="9"/>
    </row>
    <row r="48" spans="7:10" x14ac:dyDescent="0.2">
      <c r="G48" s="9"/>
    </row>
    <row r="49" spans="7:7" x14ac:dyDescent="0.2">
      <c r="G49" s="9"/>
    </row>
    <row r="50" spans="7:7" x14ac:dyDescent="0.2">
      <c r="G50" s="9"/>
    </row>
    <row r="51" spans="7:7" x14ac:dyDescent="0.2">
      <c r="G51" s="9"/>
    </row>
    <row r="52" spans="7:7" x14ac:dyDescent="0.2">
      <c r="G52" s="9"/>
    </row>
    <row r="53" spans="7:7" x14ac:dyDescent="0.2">
      <c r="G53" s="9"/>
    </row>
    <row r="54" spans="7:7" x14ac:dyDescent="0.2">
      <c r="G54" s="9"/>
    </row>
    <row r="55" spans="7:7" x14ac:dyDescent="0.2">
      <c r="G55" s="9"/>
    </row>
    <row r="56" spans="7:7" x14ac:dyDescent="0.2">
      <c r="G56" s="9"/>
    </row>
    <row r="57" spans="7:7" x14ac:dyDescent="0.2">
      <c r="G57" s="9"/>
    </row>
    <row r="58" spans="7:7" x14ac:dyDescent="0.2">
      <c r="G58" s="9"/>
    </row>
    <row r="59" spans="7:7" x14ac:dyDescent="0.2">
      <c r="G59" s="9"/>
    </row>
    <row r="60" spans="7:7" x14ac:dyDescent="0.2">
      <c r="G60" s="9"/>
    </row>
    <row r="61" spans="7:7" x14ac:dyDescent="0.2">
      <c r="G61" s="9"/>
    </row>
    <row r="62" spans="7:7" x14ac:dyDescent="0.2">
      <c r="G62" s="9"/>
    </row>
    <row r="63" spans="7:7" x14ac:dyDescent="0.2">
      <c r="G63" s="9"/>
    </row>
    <row r="64" spans="7:7" x14ac:dyDescent="0.2">
      <c r="G64" s="9"/>
    </row>
    <row r="65" spans="7:7" x14ac:dyDescent="0.2">
      <c r="G65" s="9"/>
    </row>
    <row r="66" spans="7:7" x14ac:dyDescent="0.2">
      <c r="G66" s="9"/>
    </row>
    <row r="67" spans="7:7" x14ac:dyDescent="0.2">
      <c r="G67" s="9"/>
    </row>
    <row r="68" spans="7:7" x14ac:dyDescent="0.2">
      <c r="G68" s="9"/>
    </row>
    <row r="69" spans="7:7" x14ac:dyDescent="0.2">
      <c r="G69" s="9"/>
    </row>
    <row r="70" spans="7:7" x14ac:dyDescent="0.2">
      <c r="G70" s="9"/>
    </row>
    <row r="71" spans="7:7" x14ac:dyDescent="0.2">
      <c r="G71" s="9"/>
    </row>
    <row r="72" spans="7:7" x14ac:dyDescent="0.2">
      <c r="G72" s="9"/>
    </row>
    <row r="73" spans="7:7" x14ac:dyDescent="0.2">
      <c r="G73" s="9"/>
    </row>
    <row r="74" spans="7:7" x14ac:dyDescent="0.2">
      <c r="G74" s="9"/>
    </row>
    <row r="75" spans="7:7" x14ac:dyDescent="0.2">
      <c r="G75" s="9"/>
    </row>
    <row r="76" spans="7:7" x14ac:dyDescent="0.2">
      <c r="G76" s="9"/>
    </row>
    <row r="77" spans="7:7" x14ac:dyDescent="0.2">
      <c r="G77" s="9"/>
    </row>
    <row r="78" spans="7:7" x14ac:dyDescent="0.2">
      <c r="G78" s="9"/>
    </row>
    <row r="79" spans="7:7" x14ac:dyDescent="0.2">
      <c r="G79" s="9"/>
    </row>
    <row r="80" spans="7:7" x14ac:dyDescent="0.2">
      <c r="G80" s="9"/>
    </row>
    <row r="81" spans="7:7" x14ac:dyDescent="0.2">
      <c r="G81" s="9"/>
    </row>
    <row r="82" spans="7:7" x14ac:dyDescent="0.2">
      <c r="G82" s="9"/>
    </row>
    <row r="83" spans="7:7" x14ac:dyDescent="0.2">
      <c r="G83" s="9"/>
    </row>
    <row r="84" spans="7:7" x14ac:dyDescent="0.2">
      <c r="G84" s="9"/>
    </row>
    <row r="85" spans="7:7" x14ac:dyDescent="0.2">
      <c r="G85" s="9"/>
    </row>
    <row r="86" spans="7:7" x14ac:dyDescent="0.2">
      <c r="G86" s="9"/>
    </row>
    <row r="87" spans="7:7" x14ac:dyDescent="0.2">
      <c r="G87" s="9"/>
    </row>
    <row r="88" spans="7:7" x14ac:dyDescent="0.2">
      <c r="G88" s="9"/>
    </row>
    <row r="89" spans="7:7" x14ac:dyDescent="0.2">
      <c r="G89" s="9"/>
    </row>
    <row r="90" spans="7:7" x14ac:dyDescent="0.2">
      <c r="G90" s="9"/>
    </row>
    <row r="91" spans="7:7" x14ac:dyDescent="0.2">
      <c r="G91" s="9"/>
    </row>
    <row r="92" spans="7:7" x14ac:dyDescent="0.2">
      <c r="G92" s="9"/>
    </row>
    <row r="93" spans="7:7" x14ac:dyDescent="0.2">
      <c r="G93" s="9"/>
    </row>
    <row r="94" spans="7:7" x14ac:dyDescent="0.2">
      <c r="G94" s="9"/>
    </row>
    <row r="95" spans="7:7" x14ac:dyDescent="0.2">
      <c r="G95" s="9"/>
    </row>
    <row r="96" spans="7:7" x14ac:dyDescent="0.2">
      <c r="G96" s="9"/>
    </row>
    <row r="97" spans="7:7" x14ac:dyDescent="0.2">
      <c r="G97" s="9"/>
    </row>
    <row r="98" spans="7:7" x14ac:dyDescent="0.2">
      <c r="G98" s="9"/>
    </row>
    <row r="99" spans="7:7" x14ac:dyDescent="0.2">
      <c r="G99" s="9"/>
    </row>
    <row r="100" spans="7:7" x14ac:dyDescent="0.2">
      <c r="G100" s="9"/>
    </row>
    <row r="101" spans="7:7" x14ac:dyDescent="0.2">
      <c r="G101" s="9"/>
    </row>
    <row r="102" spans="7:7" x14ac:dyDescent="0.2">
      <c r="G102" s="9"/>
    </row>
    <row r="103" spans="7:7" x14ac:dyDescent="0.2">
      <c r="G103" s="9"/>
    </row>
    <row r="104" spans="7:7" x14ac:dyDescent="0.2">
      <c r="G104" s="9"/>
    </row>
    <row r="105" spans="7:7" x14ac:dyDescent="0.2">
      <c r="G105" s="9"/>
    </row>
    <row r="106" spans="7:7" x14ac:dyDescent="0.2">
      <c r="G106" s="9"/>
    </row>
    <row r="107" spans="7:7" x14ac:dyDescent="0.2">
      <c r="G107" s="9"/>
    </row>
    <row r="108" spans="7:7" x14ac:dyDescent="0.2">
      <c r="G108" s="9"/>
    </row>
    <row r="109" spans="7:7" x14ac:dyDescent="0.2">
      <c r="G109" s="9"/>
    </row>
    <row r="110" spans="7:7" x14ac:dyDescent="0.2">
      <c r="G110" s="9"/>
    </row>
    <row r="111" spans="7:7" x14ac:dyDescent="0.2">
      <c r="G111" s="9"/>
    </row>
    <row r="112" spans="7:7" x14ac:dyDescent="0.2">
      <c r="G112" s="9"/>
    </row>
    <row r="113" spans="7:7" x14ac:dyDescent="0.2">
      <c r="G113" s="9"/>
    </row>
    <row r="114" spans="7:7" x14ac:dyDescent="0.2">
      <c r="G114" s="9"/>
    </row>
    <row r="115" spans="7:7" x14ac:dyDescent="0.2">
      <c r="G115" s="9"/>
    </row>
    <row r="116" spans="7:7" x14ac:dyDescent="0.2">
      <c r="G116" s="9"/>
    </row>
    <row r="117" spans="7:7" x14ac:dyDescent="0.2">
      <c r="G117" s="9"/>
    </row>
    <row r="118" spans="7:7" x14ac:dyDescent="0.2">
      <c r="G118" s="9"/>
    </row>
    <row r="119" spans="7:7" x14ac:dyDescent="0.2">
      <c r="G119" s="9"/>
    </row>
    <row r="120" spans="7:7" x14ac:dyDescent="0.2">
      <c r="G120" s="9"/>
    </row>
    <row r="121" spans="7:7" x14ac:dyDescent="0.2">
      <c r="G121" s="9"/>
    </row>
    <row r="122" spans="7:7" x14ac:dyDescent="0.2">
      <c r="G122" s="9"/>
    </row>
    <row r="123" spans="7:7" x14ac:dyDescent="0.2">
      <c r="G123" s="9"/>
    </row>
    <row r="124" spans="7:7" x14ac:dyDescent="0.2">
      <c r="G124" s="9"/>
    </row>
    <row r="125" spans="7:7" x14ac:dyDescent="0.2">
      <c r="G125" s="9"/>
    </row>
    <row r="126" spans="7:7" x14ac:dyDescent="0.2">
      <c r="G126" s="9"/>
    </row>
    <row r="127" spans="7:7" x14ac:dyDescent="0.2">
      <c r="G127" s="9"/>
    </row>
    <row r="128" spans="7:7" x14ac:dyDescent="0.2">
      <c r="G128" s="9"/>
    </row>
    <row r="129" spans="7:7" x14ac:dyDescent="0.2">
      <c r="G129" s="9"/>
    </row>
    <row r="130" spans="7:7" x14ac:dyDescent="0.2">
      <c r="G130" s="9"/>
    </row>
    <row r="131" spans="7:7" x14ac:dyDescent="0.2">
      <c r="G131" s="9"/>
    </row>
    <row r="132" spans="7:7" x14ac:dyDescent="0.2">
      <c r="G132" s="9"/>
    </row>
    <row r="133" spans="7:7" x14ac:dyDescent="0.2">
      <c r="G133" s="9"/>
    </row>
    <row r="134" spans="7:7" x14ac:dyDescent="0.2">
      <c r="G134" s="9"/>
    </row>
    <row r="135" spans="7:7" x14ac:dyDescent="0.2">
      <c r="G135" s="9"/>
    </row>
    <row r="136" spans="7:7" x14ac:dyDescent="0.2">
      <c r="G136" s="9"/>
    </row>
    <row r="137" spans="7:7" x14ac:dyDescent="0.2">
      <c r="G137" s="9"/>
    </row>
    <row r="138" spans="7:7" x14ac:dyDescent="0.2">
      <c r="G138" s="9"/>
    </row>
    <row r="139" spans="7:7" x14ac:dyDescent="0.2">
      <c r="G139" s="9"/>
    </row>
    <row r="140" spans="7:7" x14ac:dyDescent="0.2">
      <c r="G140" s="9"/>
    </row>
    <row r="141" spans="7:7" x14ac:dyDescent="0.2">
      <c r="G141" s="9"/>
    </row>
    <row r="142" spans="7:7" x14ac:dyDescent="0.2">
      <c r="G142" s="9"/>
    </row>
    <row r="143" spans="7:7" x14ac:dyDescent="0.2">
      <c r="G143" s="9"/>
    </row>
    <row r="144" spans="7:7" x14ac:dyDescent="0.2">
      <c r="G144" s="9"/>
    </row>
    <row r="145" spans="7:7" x14ac:dyDescent="0.2">
      <c r="G145" s="9"/>
    </row>
    <row r="146" spans="7:7" x14ac:dyDescent="0.2">
      <c r="G146" s="9"/>
    </row>
    <row r="147" spans="7:7" x14ac:dyDescent="0.2">
      <c r="G147" s="9"/>
    </row>
    <row r="148" spans="7:7" x14ac:dyDescent="0.2">
      <c r="G148" s="9"/>
    </row>
    <row r="149" spans="7:7" x14ac:dyDescent="0.2">
      <c r="G149" s="9"/>
    </row>
    <row r="150" spans="7:7" x14ac:dyDescent="0.2">
      <c r="G150" s="9"/>
    </row>
    <row r="151" spans="7:7" x14ac:dyDescent="0.2">
      <c r="G151" s="9"/>
    </row>
    <row r="152" spans="7:7" x14ac:dyDescent="0.2">
      <c r="G152" s="9"/>
    </row>
    <row r="153" spans="7:7" x14ac:dyDescent="0.2">
      <c r="G153" s="9"/>
    </row>
    <row r="154" spans="7:7" x14ac:dyDescent="0.2">
      <c r="G154" s="9"/>
    </row>
    <row r="155" spans="7:7" x14ac:dyDescent="0.2">
      <c r="G155" s="9"/>
    </row>
    <row r="156" spans="7:7" x14ac:dyDescent="0.2">
      <c r="G156" s="9"/>
    </row>
    <row r="157" spans="7:7" x14ac:dyDescent="0.2">
      <c r="G157" s="9"/>
    </row>
    <row r="158" spans="7:7" x14ac:dyDescent="0.2">
      <c r="G158" s="9"/>
    </row>
    <row r="159" spans="7:7" x14ac:dyDescent="0.2">
      <c r="G159" s="9"/>
    </row>
    <row r="160" spans="7:7" x14ac:dyDescent="0.2">
      <c r="G160" s="9"/>
    </row>
    <row r="161" spans="7:7" x14ac:dyDescent="0.2">
      <c r="G161" s="9"/>
    </row>
    <row r="162" spans="7:7" x14ac:dyDescent="0.2">
      <c r="G162" s="9"/>
    </row>
    <row r="163" spans="7:7" x14ac:dyDescent="0.2">
      <c r="G163" s="9"/>
    </row>
    <row r="164" spans="7:7" x14ac:dyDescent="0.2">
      <c r="G164" s="9"/>
    </row>
    <row r="165" spans="7:7" x14ac:dyDescent="0.2">
      <c r="G165" s="9"/>
    </row>
    <row r="166" spans="7:7" x14ac:dyDescent="0.2">
      <c r="G166" s="9"/>
    </row>
    <row r="167" spans="7:7" x14ac:dyDescent="0.2">
      <c r="G167" s="9"/>
    </row>
    <row r="168" spans="7:7" x14ac:dyDescent="0.2">
      <c r="G168" s="9"/>
    </row>
    <row r="169" spans="7:7" x14ac:dyDescent="0.2">
      <c r="G169" s="9"/>
    </row>
    <row r="170" spans="7:7" x14ac:dyDescent="0.2">
      <c r="G170" s="9"/>
    </row>
    <row r="171" spans="7:7" x14ac:dyDescent="0.2">
      <c r="G171" s="9"/>
    </row>
    <row r="172" spans="7:7" x14ac:dyDescent="0.2">
      <c r="G172" s="9"/>
    </row>
    <row r="173" spans="7:7" x14ac:dyDescent="0.2">
      <c r="G173" s="9"/>
    </row>
    <row r="174" spans="7:7" x14ac:dyDescent="0.2">
      <c r="G174" s="9"/>
    </row>
    <row r="175" spans="7:7" x14ac:dyDescent="0.2">
      <c r="G175" s="9"/>
    </row>
    <row r="176" spans="7:7" x14ac:dyDescent="0.2">
      <c r="G176" s="9"/>
    </row>
    <row r="177" spans="7:7" x14ac:dyDescent="0.2">
      <c r="G177" s="9"/>
    </row>
    <row r="178" spans="7:7" x14ac:dyDescent="0.2">
      <c r="G178" s="9"/>
    </row>
    <row r="179" spans="7:7" x14ac:dyDescent="0.2">
      <c r="G179" s="9"/>
    </row>
    <row r="180" spans="7:7" x14ac:dyDescent="0.2">
      <c r="G180" s="9"/>
    </row>
    <row r="181" spans="7:7" x14ac:dyDescent="0.2">
      <c r="G181" s="9"/>
    </row>
    <row r="182" spans="7:7" x14ac:dyDescent="0.2">
      <c r="G182" s="9"/>
    </row>
    <row r="183" spans="7:7" x14ac:dyDescent="0.2">
      <c r="G183" s="9"/>
    </row>
    <row r="184" spans="7:7" x14ac:dyDescent="0.2">
      <c r="G184" s="9"/>
    </row>
    <row r="185" spans="7:7" x14ac:dyDescent="0.2">
      <c r="G185" s="9"/>
    </row>
    <row r="186" spans="7:7" x14ac:dyDescent="0.2">
      <c r="G186" s="9"/>
    </row>
    <row r="187" spans="7:7" x14ac:dyDescent="0.2">
      <c r="G187" s="9"/>
    </row>
    <row r="188" spans="7:7" x14ac:dyDescent="0.2">
      <c r="G188" s="9"/>
    </row>
    <row r="189" spans="7:7" x14ac:dyDescent="0.2">
      <c r="G189" s="9"/>
    </row>
    <row r="190" spans="7:7" x14ac:dyDescent="0.2">
      <c r="G190" s="9"/>
    </row>
    <row r="191" spans="7:7" x14ac:dyDescent="0.2">
      <c r="G191" s="9"/>
    </row>
    <row r="192" spans="7:7" x14ac:dyDescent="0.2">
      <c r="G192" s="9"/>
    </row>
    <row r="193" spans="7:7" x14ac:dyDescent="0.2">
      <c r="G193" s="9"/>
    </row>
    <row r="194" spans="7:7" x14ac:dyDescent="0.2">
      <c r="G194" s="9"/>
    </row>
    <row r="195" spans="7:7" x14ac:dyDescent="0.2">
      <c r="G195" s="9"/>
    </row>
    <row r="196" spans="7:7" x14ac:dyDescent="0.2">
      <c r="G196" s="9"/>
    </row>
    <row r="197" spans="7:7" x14ac:dyDescent="0.2">
      <c r="G197" s="9"/>
    </row>
    <row r="198" spans="7:7" x14ac:dyDescent="0.2">
      <c r="G198" s="9"/>
    </row>
    <row r="199" spans="7:7" x14ac:dyDescent="0.2">
      <c r="G199" s="9"/>
    </row>
    <row r="200" spans="7:7" x14ac:dyDescent="0.2">
      <c r="G200" s="9"/>
    </row>
    <row r="201" spans="7:7" x14ac:dyDescent="0.2">
      <c r="G201" s="9"/>
    </row>
    <row r="202" spans="7:7" x14ac:dyDescent="0.2">
      <c r="G202" s="9"/>
    </row>
    <row r="203" spans="7:7" x14ac:dyDescent="0.2">
      <c r="G203" s="9"/>
    </row>
    <row r="204" spans="7:7" x14ac:dyDescent="0.2">
      <c r="G204" s="9"/>
    </row>
    <row r="205" spans="7:7" x14ac:dyDescent="0.2">
      <c r="G205" s="9"/>
    </row>
    <row r="206" spans="7:7" x14ac:dyDescent="0.2">
      <c r="G206" s="9"/>
    </row>
    <row r="207" spans="7:7" x14ac:dyDescent="0.2">
      <c r="G207" s="9"/>
    </row>
    <row r="208" spans="7:7" x14ac:dyDescent="0.2">
      <c r="G208" s="9"/>
    </row>
    <row r="209" spans="7:7" x14ac:dyDescent="0.2">
      <c r="G209" s="9"/>
    </row>
    <row r="210" spans="7:7" x14ac:dyDescent="0.2">
      <c r="G210" s="9"/>
    </row>
    <row r="211" spans="7:7" x14ac:dyDescent="0.2">
      <c r="G211" s="9"/>
    </row>
    <row r="212" spans="7:7" x14ac:dyDescent="0.2">
      <c r="G212" s="9"/>
    </row>
    <row r="213" spans="7:7" x14ac:dyDescent="0.2">
      <c r="G213" s="9"/>
    </row>
    <row r="214" spans="7:7" x14ac:dyDescent="0.2">
      <c r="G214" s="9"/>
    </row>
    <row r="215" spans="7:7" x14ac:dyDescent="0.2">
      <c r="G215" s="9"/>
    </row>
    <row r="216" spans="7:7" x14ac:dyDescent="0.2">
      <c r="G216" s="9"/>
    </row>
    <row r="217" spans="7:7" x14ac:dyDescent="0.2">
      <c r="G217" s="9"/>
    </row>
    <row r="218" spans="7:7" x14ac:dyDescent="0.2">
      <c r="G218" s="9"/>
    </row>
    <row r="219" spans="7:7" x14ac:dyDescent="0.2">
      <c r="G219" s="9"/>
    </row>
    <row r="220" spans="7:7" x14ac:dyDescent="0.2">
      <c r="G220" s="9"/>
    </row>
    <row r="221" spans="7:7" x14ac:dyDescent="0.2">
      <c r="G221" s="9"/>
    </row>
    <row r="222" spans="7:7" x14ac:dyDescent="0.2">
      <c r="G222" s="9"/>
    </row>
    <row r="223" spans="7:7" x14ac:dyDescent="0.2">
      <c r="G223" s="9"/>
    </row>
    <row r="224" spans="7:7" x14ac:dyDescent="0.2">
      <c r="G224" s="9"/>
    </row>
    <row r="225" spans="7:7" x14ac:dyDescent="0.2">
      <c r="G225" s="9"/>
    </row>
    <row r="226" spans="7:7" x14ac:dyDescent="0.2">
      <c r="G226" s="9"/>
    </row>
    <row r="227" spans="7:7" x14ac:dyDescent="0.2">
      <c r="G227" s="9"/>
    </row>
    <row r="228" spans="7:7" x14ac:dyDescent="0.2">
      <c r="G228" s="9"/>
    </row>
    <row r="229" spans="7:7" x14ac:dyDescent="0.2">
      <c r="G229" s="9"/>
    </row>
    <row r="230" spans="7:7" x14ac:dyDescent="0.2">
      <c r="G230" s="9"/>
    </row>
    <row r="231" spans="7:7" x14ac:dyDescent="0.2">
      <c r="G231" s="9"/>
    </row>
    <row r="232" spans="7:7" x14ac:dyDescent="0.2">
      <c r="G232" s="9"/>
    </row>
    <row r="233" spans="7:7" x14ac:dyDescent="0.2">
      <c r="G233" s="9"/>
    </row>
    <row r="234" spans="7:7" x14ac:dyDescent="0.2">
      <c r="G234" s="9"/>
    </row>
    <row r="235" spans="7:7" x14ac:dyDescent="0.2">
      <c r="G235" s="9"/>
    </row>
    <row r="236" spans="7:7" x14ac:dyDescent="0.2">
      <c r="G236" s="9"/>
    </row>
    <row r="237" spans="7:7" x14ac:dyDescent="0.2">
      <c r="G237" s="9"/>
    </row>
    <row r="238" spans="7:7" x14ac:dyDescent="0.2">
      <c r="G238" s="9"/>
    </row>
    <row r="239" spans="7:7" x14ac:dyDescent="0.2">
      <c r="G239" s="9"/>
    </row>
    <row r="240" spans="7:7" x14ac:dyDescent="0.2">
      <c r="G240" s="9"/>
    </row>
    <row r="241" spans="7:7" x14ac:dyDescent="0.2">
      <c r="G241" s="9"/>
    </row>
    <row r="242" spans="7:7" x14ac:dyDescent="0.2">
      <c r="G242" s="9"/>
    </row>
    <row r="243" spans="7:7" x14ac:dyDescent="0.2">
      <c r="G243" s="9"/>
    </row>
    <row r="244" spans="7:7" x14ac:dyDescent="0.2">
      <c r="G244" s="9"/>
    </row>
    <row r="245" spans="7:7" x14ac:dyDescent="0.2">
      <c r="G245" s="9"/>
    </row>
    <row r="246" spans="7:7" x14ac:dyDescent="0.2">
      <c r="G246" s="9"/>
    </row>
    <row r="247" spans="7:7" x14ac:dyDescent="0.2">
      <c r="G247" s="9"/>
    </row>
    <row r="248" spans="7:7" x14ac:dyDescent="0.2">
      <c r="G248" s="9"/>
    </row>
    <row r="249" spans="7:7" x14ac:dyDescent="0.2">
      <c r="G249" s="9"/>
    </row>
    <row r="250" spans="7:7" x14ac:dyDescent="0.2">
      <c r="G250" s="9"/>
    </row>
    <row r="251" spans="7:7" x14ac:dyDescent="0.2">
      <c r="G251" s="9"/>
    </row>
    <row r="252" spans="7:7" x14ac:dyDescent="0.2">
      <c r="G252" s="9"/>
    </row>
    <row r="253" spans="7:7" x14ac:dyDescent="0.2">
      <c r="G253" s="9"/>
    </row>
    <row r="254" spans="7:7" x14ac:dyDescent="0.2">
      <c r="G254" s="9"/>
    </row>
    <row r="255" spans="7:7" x14ac:dyDescent="0.2">
      <c r="G255" s="9"/>
    </row>
    <row r="256" spans="7:7" x14ac:dyDescent="0.2">
      <c r="G256" s="9"/>
    </row>
    <row r="257" spans="7:7" x14ac:dyDescent="0.2">
      <c r="G257" s="9"/>
    </row>
    <row r="258" spans="7:7" x14ac:dyDescent="0.2">
      <c r="G258" s="9"/>
    </row>
    <row r="259" spans="7:7" x14ac:dyDescent="0.2">
      <c r="G259" s="9"/>
    </row>
    <row r="260" spans="7:7" x14ac:dyDescent="0.2">
      <c r="G260" s="9"/>
    </row>
    <row r="261" spans="7:7" x14ac:dyDescent="0.2">
      <c r="G261" s="9"/>
    </row>
    <row r="262" spans="7:7" x14ac:dyDescent="0.2">
      <c r="G262" s="9"/>
    </row>
    <row r="263" spans="7:7" x14ac:dyDescent="0.2">
      <c r="G263" s="9"/>
    </row>
    <row r="264" spans="7:7" x14ac:dyDescent="0.2">
      <c r="G264" s="9"/>
    </row>
    <row r="265" spans="7:7" x14ac:dyDescent="0.2">
      <c r="G265" s="9"/>
    </row>
    <row r="266" spans="7:7" x14ac:dyDescent="0.2">
      <c r="G266" s="9"/>
    </row>
    <row r="267" spans="7:7" x14ac:dyDescent="0.2">
      <c r="G267" s="9"/>
    </row>
    <row r="268" spans="7:7" x14ac:dyDescent="0.2">
      <c r="G268" s="9"/>
    </row>
    <row r="269" spans="7:7" x14ac:dyDescent="0.2">
      <c r="G269" s="9"/>
    </row>
    <row r="270" spans="7:7" x14ac:dyDescent="0.2">
      <c r="G270" s="9"/>
    </row>
    <row r="271" spans="7:7" x14ac:dyDescent="0.2">
      <c r="G271" s="9"/>
    </row>
    <row r="272" spans="7:7" x14ac:dyDescent="0.2">
      <c r="G272" s="9"/>
    </row>
    <row r="273" spans="7:7" x14ac:dyDescent="0.2">
      <c r="G273" s="9"/>
    </row>
    <row r="274" spans="7:7" x14ac:dyDescent="0.2">
      <c r="G274" s="9"/>
    </row>
    <row r="275" spans="7:7" x14ac:dyDescent="0.2">
      <c r="G275" s="9"/>
    </row>
    <row r="276" spans="7:7" x14ac:dyDescent="0.2">
      <c r="G276" s="9"/>
    </row>
    <row r="277" spans="7:7" x14ac:dyDescent="0.2">
      <c r="G277" s="9"/>
    </row>
    <row r="278" spans="7:7" x14ac:dyDescent="0.2">
      <c r="G278" s="9"/>
    </row>
    <row r="279" spans="7:7" x14ac:dyDescent="0.2">
      <c r="G279" s="9"/>
    </row>
    <row r="280" spans="7:7" x14ac:dyDescent="0.2">
      <c r="G280" s="9"/>
    </row>
    <row r="281" spans="7:7" x14ac:dyDescent="0.2">
      <c r="G281" s="9"/>
    </row>
    <row r="282" spans="7:7" x14ac:dyDescent="0.2">
      <c r="G282" s="9"/>
    </row>
    <row r="283" spans="7:7" x14ac:dyDescent="0.2">
      <c r="G283" s="9"/>
    </row>
    <row r="284" spans="7:7" x14ac:dyDescent="0.2">
      <c r="G284" s="9"/>
    </row>
    <row r="285" spans="7:7" x14ac:dyDescent="0.2">
      <c r="G285" s="9"/>
    </row>
    <row r="286" spans="7:7" x14ac:dyDescent="0.2">
      <c r="G286" s="9"/>
    </row>
    <row r="287" spans="7:7" x14ac:dyDescent="0.2">
      <c r="G287" s="9"/>
    </row>
    <row r="288" spans="7:7" x14ac:dyDescent="0.2">
      <c r="G288" s="9"/>
    </row>
    <row r="289" spans="7:7" x14ac:dyDescent="0.2">
      <c r="G289" s="9"/>
    </row>
    <row r="290" spans="7:7" x14ac:dyDescent="0.2">
      <c r="G290" s="9"/>
    </row>
    <row r="291" spans="7:7" x14ac:dyDescent="0.2">
      <c r="G291" s="9"/>
    </row>
    <row r="292" spans="7:7" x14ac:dyDescent="0.2">
      <c r="G292" s="9"/>
    </row>
    <row r="293" spans="7:7" x14ac:dyDescent="0.2">
      <c r="G293" s="9"/>
    </row>
    <row r="294" spans="7:7" x14ac:dyDescent="0.2">
      <c r="G294" s="9"/>
    </row>
    <row r="295" spans="7:7" x14ac:dyDescent="0.2">
      <c r="G295" s="9"/>
    </row>
    <row r="296" spans="7:7" x14ac:dyDescent="0.2">
      <c r="G296" s="9"/>
    </row>
    <row r="297" spans="7:7" x14ac:dyDescent="0.2">
      <c r="G297" s="9"/>
    </row>
    <row r="298" spans="7:7" x14ac:dyDescent="0.2">
      <c r="G298" s="9"/>
    </row>
    <row r="299" spans="7:7" x14ac:dyDescent="0.2">
      <c r="G299" s="9"/>
    </row>
    <row r="300" spans="7:7" x14ac:dyDescent="0.2">
      <c r="G300" s="9"/>
    </row>
    <row r="301" spans="7:7" x14ac:dyDescent="0.2">
      <c r="G301" s="9"/>
    </row>
    <row r="302" spans="7:7" x14ac:dyDescent="0.2">
      <c r="G302" s="9"/>
    </row>
    <row r="303" spans="7:7" x14ac:dyDescent="0.2">
      <c r="G303" s="9"/>
    </row>
    <row r="304" spans="7:7" x14ac:dyDescent="0.2">
      <c r="G304" s="9"/>
    </row>
    <row r="305" spans="7:7" x14ac:dyDescent="0.2">
      <c r="G305" s="9"/>
    </row>
    <row r="306" spans="7:7" x14ac:dyDescent="0.2">
      <c r="G306" s="9"/>
    </row>
    <row r="307" spans="7:7" x14ac:dyDescent="0.2">
      <c r="G307" s="9"/>
    </row>
    <row r="308" spans="7:7" x14ac:dyDescent="0.2">
      <c r="G308" s="9"/>
    </row>
    <row r="309" spans="7:7" x14ac:dyDescent="0.2">
      <c r="G309" s="9"/>
    </row>
    <row r="310" spans="7:7" x14ac:dyDescent="0.2">
      <c r="G310" s="9"/>
    </row>
    <row r="311" spans="7:7" x14ac:dyDescent="0.2">
      <c r="G311" s="9"/>
    </row>
    <row r="312" spans="7:7" x14ac:dyDescent="0.2">
      <c r="G312" s="9"/>
    </row>
    <row r="313" spans="7:7" x14ac:dyDescent="0.2">
      <c r="G313" s="9"/>
    </row>
    <row r="314" spans="7:7" x14ac:dyDescent="0.2">
      <c r="G314" s="9"/>
    </row>
    <row r="315" spans="7:7" x14ac:dyDescent="0.2">
      <c r="G315" s="9"/>
    </row>
    <row r="316" spans="7:7" x14ac:dyDescent="0.2">
      <c r="G316" s="9"/>
    </row>
    <row r="317" spans="7:7" x14ac:dyDescent="0.2">
      <c r="G317" s="9"/>
    </row>
    <row r="318" spans="7:7" x14ac:dyDescent="0.2">
      <c r="G318" s="9"/>
    </row>
    <row r="319" spans="7:7" x14ac:dyDescent="0.2">
      <c r="G319" s="9"/>
    </row>
    <row r="320" spans="7:7" x14ac:dyDescent="0.2">
      <c r="G320" s="9"/>
    </row>
    <row r="321" spans="7:7" x14ac:dyDescent="0.2">
      <c r="G321" s="9"/>
    </row>
    <row r="322" spans="7:7" x14ac:dyDescent="0.2">
      <c r="G322" s="9"/>
    </row>
    <row r="323" spans="7:7" x14ac:dyDescent="0.2">
      <c r="G323" s="9"/>
    </row>
    <row r="324" spans="7:7" x14ac:dyDescent="0.2">
      <c r="G324" s="9"/>
    </row>
    <row r="325" spans="7:7" x14ac:dyDescent="0.2">
      <c r="G325" s="9"/>
    </row>
    <row r="326" spans="7:7" x14ac:dyDescent="0.2">
      <c r="G326" s="9"/>
    </row>
    <row r="327" spans="7:7" x14ac:dyDescent="0.2">
      <c r="G327" s="9"/>
    </row>
    <row r="328" spans="7:7" x14ac:dyDescent="0.2">
      <c r="G328" s="9"/>
    </row>
    <row r="329" spans="7:7" x14ac:dyDescent="0.2">
      <c r="G329" s="9"/>
    </row>
    <row r="330" spans="7:7" x14ac:dyDescent="0.2">
      <c r="G330" s="9"/>
    </row>
    <row r="331" spans="7:7" x14ac:dyDescent="0.2">
      <c r="G331" s="9"/>
    </row>
    <row r="332" spans="7:7" x14ac:dyDescent="0.2">
      <c r="G332" s="9"/>
    </row>
    <row r="333" spans="7:7" x14ac:dyDescent="0.2">
      <c r="G333" s="9"/>
    </row>
    <row r="334" spans="7:7" x14ac:dyDescent="0.2">
      <c r="G334" s="9"/>
    </row>
    <row r="335" spans="7:7" x14ac:dyDescent="0.2">
      <c r="G335" s="9"/>
    </row>
    <row r="336" spans="7:7" x14ac:dyDescent="0.2">
      <c r="G336" s="9"/>
    </row>
    <row r="337" spans="7:7" x14ac:dyDescent="0.2">
      <c r="G337" s="9"/>
    </row>
    <row r="338" spans="7:7" x14ac:dyDescent="0.2">
      <c r="G338" s="9"/>
    </row>
    <row r="339" spans="7:7" x14ac:dyDescent="0.2">
      <c r="G339" s="9"/>
    </row>
    <row r="340" spans="7:7" x14ac:dyDescent="0.2">
      <c r="G340" s="9"/>
    </row>
    <row r="341" spans="7:7" x14ac:dyDescent="0.2">
      <c r="G341" s="9"/>
    </row>
    <row r="342" spans="7:7" x14ac:dyDescent="0.2">
      <c r="G342" s="9"/>
    </row>
    <row r="343" spans="7:7" x14ac:dyDescent="0.2">
      <c r="G343" s="9"/>
    </row>
    <row r="344" spans="7:7" x14ac:dyDescent="0.2">
      <c r="G344" s="9"/>
    </row>
    <row r="345" spans="7:7" x14ac:dyDescent="0.2">
      <c r="G345" s="9"/>
    </row>
    <row r="346" spans="7:7" x14ac:dyDescent="0.2">
      <c r="G346" s="9"/>
    </row>
    <row r="347" spans="7:7" x14ac:dyDescent="0.2">
      <c r="G347" s="9"/>
    </row>
    <row r="348" spans="7:7" x14ac:dyDescent="0.2">
      <c r="G348" s="9"/>
    </row>
    <row r="349" spans="7:7" x14ac:dyDescent="0.2">
      <c r="G349" s="9"/>
    </row>
    <row r="350" spans="7:7" x14ac:dyDescent="0.2">
      <c r="G350" s="9"/>
    </row>
    <row r="351" spans="7:7" x14ac:dyDescent="0.2">
      <c r="G351" s="9"/>
    </row>
    <row r="352" spans="7:7" x14ac:dyDescent="0.2">
      <c r="G352" s="9"/>
    </row>
    <row r="353" spans="7:7" x14ac:dyDescent="0.2">
      <c r="G353" s="9"/>
    </row>
    <row r="354" spans="7:7" x14ac:dyDescent="0.2">
      <c r="G354" s="9"/>
    </row>
    <row r="355" spans="7:7" x14ac:dyDescent="0.2">
      <c r="G355" s="9"/>
    </row>
    <row r="356" spans="7:7" x14ac:dyDescent="0.2">
      <c r="G356" s="9"/>
    </row>
    <row r="357" spans="7:7" x14ac:dyDescent="0.2">
      <c r="G357" s="9"/>
    </row>
    <row r="358" spans="7:7" x14ac:dyDescent="0.2">
      <c r="G358" s="9"/>
    </row>
    <row r="359" spans="7:7" x14ac:dyDescent="0.2">
      <c r="G359" s="9"/>
    </row>
    <row r="360" spans="7:7" x14ac:dyDescent="0.2">
      <c r="G360" s="9"/>
    </row>
    <row r="361" spans="7:7" x14ac:dyDescent="0.2">
      <c r="G361" s="9"/>
    </row>
    <row r="362" spans="7:7" x14ac:dyDescent="0.2">
      <c r="G362" s="9"/>
    </row>
    <row r="363" spans="7:7" x14ac:dyDescent="0.2">
      <c r="G363" s="9"/>
    </row>
    <row r="364" spans="7:7" x14ac:dyDescent="0.2">
      <c r="G364" s="9"/>
    </row>
    <row r="365" spans="7:7" x14ac:dyDescent="0.2">
      <c r="G365" s="9"/>
    </row>
    <row r="366" spans="7:7" x14ac:dyDescent="0.2">
      <c r="G366" s="9"/>
    </row>
    <row r="367" spans="7:7" x14ac:dyDescent="0.2">
      <c r="G367" s="9"/>
    </row>
    <row r="368" spans="7:7" x14ac:dyDescent="0.2">
      <c r="G368" s="9"/>
    </row>
    <row r="369" spans="7:7" x14ac:dyDescent="0.2">
      <c r="G369" s="9"/>
    </row>
    <row r="370" spans="7:7" x14ac:dyDescent="0.2">
      <c r="G370" s="9"/>
    </row>
    <row r="371" spans="7:7" x14ac:dyDescent="0.2">
      <c r="G371" s="9"/>
    </row>
    <row r="372" spans="7:7" x14ac:dyDescent="0.2">
      <c r="G372" s="9"/>
    </row>
    <row r="373" spans="7:7" x14ac:dyDescent="0.2">
      <c r="G373" s="9"/>
    </row>
    <row r="374" spans="7:7" x14ac:dyDescent="0.2">
      <c r="G374" s="9"/>
    </row>
    <row r="375" spans="7:7" x14ac:dyDescent="0.2">
      <c r="G375" s="9"/>
    </row>
    <row r="376" spans="7:7" x14ac:dyDescent="0.2">
      <c r="G376" s="9"/>
    </row>
    <row r="377" spans="7:7" x14ac:dyDescent="0.2">
      <c r="G377" s="9"/>
    </row>
    <row r="378" spans="7:7" x14ac:dyDescent="0.2">
      <c r="G378" s="9"/>
    </row>
    <row r="379" spans="7:7" x14ac:dyDescent="0.2">
      <c r="G379" s="9"/>
    </row>
    <row r="380" spans="7:7" x14ac:dyDescent="0.2">
      <c r="G380" s="9"/>
    </row>
    <row r="381" spans="7:7" x14ac:dyDescent="0.2">
      <c r="G381" s="9"/>
    </row>
    <row r="382" spans="7:7" x14ac:dyDescent="0.2">
      <c r="G382" s="9"/>
    </row>
    <row r="383" spans="7:7" x14ac:dyDescent="0.2">
      <c r="G383" s="9"/>
    </row>
    <row r="384" spans="7:7" x14ac:dyDescent="0.2">
      <c r="G384" s="9"/>
    </row>
    <row r="385" spans="7:7" x14ac:dyDescent="0.2">
      <c r="G385" s="9"/>
    </row>
    <row r="386" spans="7:7" x14ac:dyDescent="0.2">
      <c r="G386" s="9"/>
    </row>
    <row r="387" spans="7:7" x14ac:dyDescent="0.2">
      <c r="G387" s="9"/>
    </row>
    <row r="388" spans="7:7" x14ac:dyDescent="0.2">
      <c r="G388" s="9"/>
    </row>
    <row r="389" spans="7:7" x14ac:dyDescent="0.2">
      <c r="G389" s="9"/>
    </row>
    <row r="390" spans="7:7" x14ac:dyDescent="0.2">
      <c r="G390" s="9"/>
    </row>
    <row r="391" spans="7:7" x14ac:dyDescent="0.2">
      <c r="G391" s="9"/>
    </row>
    <row r="392" spans="7:7" x14ac:dyDescent="0.2">
      <c r="G392" s="9"/>
    </row>
    <row r="393" spans="7:7" x14ac:dyDescent="0.2">
      <c r="G393" s="9"/>
    </row>
    <row r="394" spans="7:7" x14ac:dyDescent="0.2">
      <c r="G394" s="9"/>
    </row>
    <row r="395" spans="7:7" x14ac:dyDescent="0.2">
      <c r="G395" s="9"/>
    </row>
    <row r="396" spans="7:7" x14ac:dyDescent="0.2">
      <c r="G396" s="9"/>
    </row>
    <row r="397" spans="7:7" x14ac:dyDescent="0.2">
      <c r="G397" s="9"/>
    </row>
    <row r="398" spans="7:7" x14ac:dyDescent="0.2">
      <c r="G398" s="9"/>
    </row>
    <row r="399" spans="7:7" x14ac:dyDescent="0.2">
      <c r="G399" s="9"/>
    </row>
    <row r="400" spans="7:7" x14ac:dyDescent="0.2">
      <c r="G400" s="9"/>
    </row>
    <row r="401" spans="7:7" x14ac:dyDescent="0.2">
      <c r="G401" s="9"/>
    </row>
    <row r="402" spans="7:7" x14ac:dyDescent="0.2">
      <c r="G402" s="9"/>
    </row>
    <row r="403" spans="7:7" x14ac:dyDescent="0.2">
      <c r="G403" s="9"/>
    </row>
    <row r="404" spans="7:7" x14ac:dyDescent="0.2">
      <c r="G404" s="9"/>
    </row>
    <row r="405" spans="7:7" x14ac:dyDescent="0.2">
      <c r="G405" s="9"/>
    </row>
    <row r="406" spans="7:7" x14ac:dyDescent="0.2">
      <c r="G406" s="9"/>
    </row>
    <row r="407" spans="7:7" x14ac:dyDescent="0.2">
      <c r="G407" s="9"/>
    </row>
    <row r="408" spans="7:7" x14ac:dyDescent="0.2">
      <c r="G408" s="9"/>
    </row>
    <row r="409" spans="7:7" x14ac:dyDescent="0.2">
      <c r="G409" s="9"/>
    </row>
    <row r="410" spans="7:7" x14ac:dyDescent="0.2">
      <c r="G410" s="9"/>
    </row>
    <row r="411" spans="7:7" x14ac:dyDescent="0.2">
      <c r="G411" s="9"/>
    </row>
    <row r="412" spans="7:7" x14ac:dyDescent="0.2">
      <c r="G412" s="9"/>
    </row>
    <row r="413" spans="7:7" x14ac:dyDescent="0.2">
      <c r="G413" s="9"/>
    </row>
    <row r="414" spans="7:7" x14ac:dyDescent="0.2">
      <c r="G414" s="9"/>
    </row>
    <row r="415" spans="7:7" x14ac:dyDescent="0.2">
      <c r="G415" s="9"/>
    </row>
    <row r="416" spans="7:7" x14ac:dyDescent="0.2">
      <c r="G416" s="9"/>
    </row>
    <row r="417" spans="7:7" x14ac:dyDescent="0.2">
      <c r="G417" s="9"/>
    </row>
    <row r="418" spans="7:7" x14ac:dyDescent="0.2">
      <c r="G418" s="9"/>
    </row>
    <row r="419" spans="7:7" x14ac:dyDescent="0.2">
      <c r="G419" s="9"/>
    </row>
    <row r="420" spans="7:7" x14ac:dyDescent="0.2">
      <c r="G420" s="9"/>
    </row>
    <row r="421" spans="7:7" x14ac:dyDescent="0.2">
      <c r="G421" s="9"/>
    </row>
    <row r="422" spans="7:7" x14ac:dyDescent="0.2">
      <c r="G422" s="9"/>
    </row>
    <row r="423" spans="7:7" x14ac:dyDescent="0.2">
      <c r="G423" s="9"/>
    </row>
    <row r="424" spans="7:7" x14ac:dyDescent="0.2">
      <c r="G424" s="9"/>
    </row>
    <row r="425" spans="7:7" x14ac:dyDescent="0.2">
      <c r="G425" s="9"/>
    </row>
    <row r="426" spans="7:7" x14ac:dyDescent="0.2">
      <c r="G426" s="9"/>
    </row>
    <row r="427" spans="7:7" x14ac:dyDescent="0.2">
      <c r="G427" s="9"/>
    </row>
    <row r="428" spans="7:7" x14ac:dyDescent="0.2">
      <c r="G428" s="9"/>
    </row>
    <row r="429" spans="7:7" x14ac:dyDescent="0.2">
      <c r="G429" s="9"/>
    </row>
    <row r="430" spans="7:7" x14ac:dyDescent="0.2">
      <c r="G430" s="9"/>
    </row>
    <row r="431" spans="7:7" x14ac:dyDescent="0.2">
      <c r="G431" s="9"/>
    </row>
    <row r="432" spans="7:7" x14ac:dyDescent="0.2">
      <c r="G432" s="9"/>
    </row>
    <row r="433" spans="7:7" x14ac:dyDescent="0.2">
      <c r="G433" s="9"/>
    </row>
    <row r="434" spans="7:7" x14ac:dyDescent="0.2">
      <c r="G434" s="9"/>
    </row>
    <row r="435" spans="7:7" x14ac:dyDescent="0.2">
      <c r="G435" s="9"/>
    </row>
    <row r="436" spans="7:7" x14ac:dyDescent="0.2">
      <c r="G436" s="9"/>
    </row>
    <row r="437" spans="7:7" x14ac:dyDescent="0.2">
      <c r="G437" s="9"/>
    </row>
    <row r="438" spans="7:7" x14ac:dyDescent="0.2">
      <c r="G438" s="9"/>
    </row>
    <row r="439" spans="7:7" x14ac:dyDescent="0.2">
      <c r="G439" s="9"/>
    </row>
    <row r="440" spans="7:7" x14ac:dyDescent="0.2">
      <c r="G440" s="9"/>
    </row>
    <row r="441" spans="7:7" x14ac:dyDescent="0.2">
      <c r="G441" s="9"/>
    </row>
    <row r="442" spans="7:7" x14ac:dyDescent="0.2">
      <c r="G442" s="9"/>
    </row>
    <row r="443" spans="7:7" x14ac:dyDescent="0.2">
      <c r="G443" s="9"/>
    </row>
    <row r="444" spans="7:7" x14ac:dyDescent="0.2">
      <c r="G444" s="9"/>
    </row>
    <row r="445" spans="7:7" x14ac:dyDescent="0.2">
      <c r="G445" s="9"/>
    </row>
    <row r="446" spans="7:7" x14ac:dyDescent="0.2">
      <c r="G446" s="9"/>
    </row>
    <row r="447" spans="7:7" x14ac:dyDescent="0.2">
      <c r="G447" s="9"/>
    </row>
    <row r="448" spans="7:7" x14ac:dyDescent="0.2">
      <c r="G448" s="9"/>
    </row>
    <row r="449" spans="7:7" x14ac:dyDescent="0.2">
      <c r="G449" s="9"/>
    </row>
    <row r="450" spans="7:7" x14ac:dyDescent="0.2">
      <c r="G450" s="9"/>
    </row>
    <row r="451" spans="7:7" x14ac:dyDescent="0.2">
      <c r="G451" s="9"/>
    </row>
    <row r="452" spans="7:7" x14ac:dyDescent="0.2">
      <c r="G452" s="9"/>
    </row>
    <row r="453" spans="7:7" x14ac:dyDescent="0.2">
      <c r="G453" s="9"/>
    </row>
    <row r="454" spans="7:7" x14ac:dyDescent="0.2">
      <c r="G454" s="9"/>
    </row>
    <row r="455" spans="7:7" x14ac:dyDescent="0.2">
      <c r="G455" s="9"/>
    </row>
    <row r="456" spans="7:7" x14ac:dyDescent="0.2">
      <c r="G456" s="9"/>
    </row>
    <row r="457" spans="7:7" x14ac:dyDescent="0.2">
      <c r="G457" s="9"/>
    </row>
    <row r="458" spans="7:7" x14ac:dyDescent="0.2">
      <c r="G458" s="9"/>
    </row>
    <row r="459" spans="7:7" x14ac:dyDescent="0.2">
      <c r="G459" s="9"/>
    </row>
    <row r="460" spans="7:7" x14ac:dyDescent="0.2">
      <c r="G460" s="9"/>
    </row>
    <row r="461" spans="7:7" x14ac:dyDescent="0.2">
      <c r="G461" s="9"/>
    </row>
    <row r="462" spans="7:7" x14ac:dyDescent="0.2">
      <c r="G462" s="9"/>
    </row>
    <row r="463" spans="7:7" x14ac:dyDescent="0.2">
      <c r="G463" s="9"/>
    </row>
    <row r="464" spans="7:7" x14ac:dyDescent="0.2">
      <c r="G464" s="9"/>
    </row>
    <row r="465" spans="7:7" x14ac:dyDescent="0.2">
      <c r="G465" s="9"/>
    </row>
    <row r="466" spans="7:7" x14ac:dyDescent="0.2">
      <c r="G466" s="9"/>
    </row>
    <row r="467" spans="7:7" x14ac:dyDescent="0.2">
      <c r="G467" s="9"/>
    </row>
    <row r="468" spans="7:7" x14ac:dyDescent="0.2">
      <c r="G468" s="9"/>
    </row>
    <row r="469" spans="7:7" x14ac:dyDescent="0.2">
      <c r="G469" s="9"/>
    </row>
    <row r="470" spans="7:7" x14ac:dyDescent="0.2">
      <c r="G470" s="9"/>
    </row>
    <row r="471" spans="7:7" x14ac:dyDescent="0.2">
      <c r="G471" s="9"/>
    </row>
    <row r="472" spans="7:7" x14ac:dyDescent="0.2">
      <c r="G472" s="9"/>
    </row>
    <row r="473" spans="7:7" x14ac:dyDescent="0.2">
      <c r="G473" s="9"/>
    </row>
    <row r="474" spans="7:7" x14ac:dyDescent="0.2">
      <c r="G474" s="9"/>
    </row>
    <row r="475" spans="7:7" x14ac:dyDescent="0.2">
      <c r="G475" s="9"/>
    </row>
    <row r="476" spans="7:7" x14ac:dyDescent="0.2">
      <c r="G476" s="9"/>
    </row>
    <row r="477" spans="7:7" x14ac:dyDescent="0.2">
      <c r="G477" s="9"/>
    </row>
    <row r="478" spans="7:7" x14ac:dyDescent="0.2">
      <c r="G478" s="9"/>
    </row>
    <row r="479" spans="7:7" x14ac:dyDescent="0.2">
      <c r="G479" s="9"/>
    </row>
    <row r="480" spans="7:7" x14ac:dyDescent="0.2">
      <c r="G480" s="9"/>
    </row>
    <row r="481" spans="7:7" x14ac:dyDescent="0.2">
      <c r="G481" s="9"/>
    </row>
    <row r="482" spans="7:7" x14ac:dyDescent="0.2">
      <c r="G482" s="9"/>
    </row>
    <row r="483" spans="7:7" x14ac:dyDescent="0.2">
      <c r="G483" s="9"/>
    </row>
    <row r="484" spans="7:7" x14ac:dyDescent="0.2">
      <c r="G484" s="9"/>
    </row>
    <row r="485" spans="7:7" x14ac:dyDescent="0.2">
      <c r="G485" s="9"/>
    </row>
    <row r="486" spans="7:7" x14ac:dyDescent="0.2">
      <c r="G486" s="9"/>
    </row>
    <row r="487" spans="7:7" x14ac:dyDescent="0.2">
      <c r="G487" s="9"/>
    </row>
  </sheetData>
  <pageMargins left="0.7" right="0.7" top="0.75" bottom="0.75" header="0.3" footer="0.3"/>
  <pageSetup orientation="portrait" r:id="rId1"/>
  <headerFooter>
    <oddHeader>&amp;L&amp;"Calibri"&amp;9&amp;K000000Micron Confidential&amp;1#</oddHeader>
    <oddFooter>&amp;L&amp;1#&amp;"Calibri"&amp;9&amp;K000000Micron Confidential</oddFooter>
  </headerFooter>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Machine Detail</vt:lpstr>
      <vt:lpstr>WS Data</vt:lpstr>
      <vt:lpstr>Flow</vt:lpstr>
      <vt:lpstr>Fab Detail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Arief Sulistio (arief)</dc:creator>
  <cp:keywords/>
  <dc:description/>
  <cp:lastModifiedBy>Kasikrit Chantharuang</cp:lastModifiedBy>
  <cp:revision/>
  <dcterms:created xsi:type="dcterms:W3CDTF">2021-04-29T02:55:19Z</dcterms:created>
  <dcterms:modified xsi:type="dcterms:W3CDTF">2021-06-18T02:01:57Z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7874100-6000-43b6-a204-2d77792600b9_Enabled">
    <vt:lpwstr>true</vt:lpwstr>
  </property>
  <property fmtid="{D5CDD505-2E9C-101B-9397-08002B2CF9AE}" pid="3" name="MSIP_Label_37874100-6000-43b6-a204-2d77792600b9_SetDate">
    <vt:lpwstr>2021-05-14T01:30:07Z</vt:lpwstr>
  </property>
  <property fmtid="{D5CDD505-2E9C-101B-9397-08002B2CF9AE}" pid="4" name="MSIP_Label_37874100-6000-43b6-a204-2d77792600b9_Method">
    <vt:lpwstr>Standard</vt:lpwstr>
  </property>
  <property fmtid="{D5CDD505-2E9C-101B-9397-08002B2CF9AE}" pid="5" name="MSIP_Label_37874100-6000-43b6-a204-2d77792600b9_Name">
    <vt:lpwstr>Confidential</vt:lpwstr>
  </property>
  <property fmtid="{D5CDD505-2E9C-101B-9397-08002B2CF9AE}" pid="6" name="MSIP_Label_37874100-6000-43b6-a204-2d77792600b9_SiteId">
    <vt:lpwstr>f38a5ecd-2813-4862-b11b-ac1d563c806f</vt:lpwstr>
  </property>
  <property fmtid="{D5CDD505-2E9C-101B-9397-08002B2CF9AE}" pid="7" name="MSIP_Label_37874100-6000-43b6-a204-2d77792600b9_ActionId">
    <vt:lpwstr>929c26bd-3238-4279-9e39-fb062cb2dc1b</vt:lpwstr>
  </property>
  <property fmtid="{D5CDD505-2E9C-101B-9397-08002B2CF9AE}" pid="8" name="MSIP_Label_37874100-6000-43b6-a204-2d77792600b9_ContentBits">
    <vt:lpwstr>3</vt:lpwstr>
  </property>
</Properties>
</file>